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lvin\AppData\Local\Microsoft\Olk\Attachments\ooa-fa0e845f-f68c-49d4-b586-30658d2acf04\aca587b0b2b9b375d01a0200bae28c7d95115e9d2a16620ea76cb4ae48d57497\"/>
    </mc:Choice>
  </mc:AlternateContent>
  <xr:revisionPtr revIDLastSave="2091" documentId="8_{DB30C2AC-A3B8-4C17-B099-3AA0E0CC87BA}" xr6:coauthVersionLast="47" xr6:coauthVersionMax="47" xr10:uidLastSave="{1531E2B8-430F-4F7A-927F-E2FF065BDDC8}"/>
  <bookViews>
    <workbookView xWindow="-110" yWindow="-110" windowWidth="19420" windowHeight="11500" activeTab="5" xr2:uid="{9BFC3A4D-33D1-4114-8E50-E6C562E52E84}"/>
  </bookViews>
  <sheets>
    <sheet name="Atlantis" sheetId="1" r:id="rId1"/>
    <sheet name="Belle Epine" sheetId="2" r:id="rId2"/>
    <sheet name="Bercy" sheetId="3" r:id="rId3"/>
    <sheet name="Bethune" sheetId="7" r:id="rId4"/>
    <sheet name="Carré Sénart" sheetId="6" r:id="rId5"/>
    <sheet name="Cergy" sheetId="9" r:id="rId6"/>
    <sheet name="GDN" sheetId="10" r:id="rId7"/>
    <sheet name="Nantes" sheetId="4" r:id="rId8"/>
    <sheet name="VDE" sheetId="8" r:id="rId9"/>
    <sheet name="St Lazare" sheetId="11" r:id="rId10"/>
    <sheet name="Strasbourg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6" l="1"/>
  <c r="J6" i="2"/>
  <c r="J15" i="9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6" i="5"/>
  <c r="F7" i="5"/>
  <c r="F8" i="5"/>
  <c r="F9" i="5"/>
  <c r="F10" i="5"/>
  <c r="F11" i="5"/>
  <c r="F12" i="5"/>
  <c r="F13" i="5"/>
  <c r="F14" i="5"/>
  <c r="F15" i="5"/>
  <c r="F16" i="5"/>
  <c r="F17" i="5"/>
  <c r="F18" i="5"/>
  <c r="F6" i="5"/>
  <c r="E8" i="5"/>
  <c r="E9" i="5"/>
  <c r="E10" i="5"/>
  <c r="E11" i="5"/>
  <c r="E12" i="5"/>
  <c r="E13" i="5"/>
  <c r="E14" i="5"/>
  <c r="E15" i="5"/>
  <c r="E16" i="5"/>
  <c r="E17" i="5"/>
  <c r="E18" i="5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7" i="5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6" i="11"/>
  <c r="E6" i="11"/>
  <c r="F6" i="11" s="1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6" i="8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6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7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6" i="4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6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7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6" i="10"/>
  <c r="E6" i="10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6" i="9"/>
  <c r="J7" i="9"/>
  <c r="J8" i="9"/>
  <c r="J9" i="9"/>
  <c r="J10" i="9"/>
  <c r="J11" i="9"/>
  <c r="J12" i="9"/>
  <c r="J13" i="9"/>
  <c r="J14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6" i="9"/>
  <c r="E6" i="9"/>
  <c r="F6" i="9"/>
  <c r="E7" i="9"/>
  <c r="F7" i="6"/>
  <c r="F8" i="6"/>
  <c r="F9" i="6"/>
  <c r="F10" i="6"/>
  <c r="F11" i="6"/>
  <c r="F12" i="6"/>
  <c r="F13" i="6"/>
  <c r="F14" i="6"/>
  <c r="F15" i="6"/>
  <c r="F16" i="6"/>
  <c r="F17" i="6"/>
  <c r="F18" i="6"/>
  <c r="F6" i="6"/>
  <c r="E8" i="6"/>
  <c r="E9" i="6"/>
  <c r="E10" i="6"/>
  <c r="E11" i="6"/>
  <c r="E12" i="6"/>
  <c r="E13" i="6"/>
  <c r="E14" i="6"/>
  <c r="E15" i="6"/>
  <c r="E16" i="6"/>
  <c r="E17" i="6"/>
  <c r="E18" i="6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7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6" i="6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6" i="3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F7" i="2"/>
  <c r="F8" i="2"/>
  <c r="F9" i="2"/>
  <c r="F10" i="2"/>
  <c r="F11" i="2"/>
  <c r="F12" i="2"/>
  <c r="F13" i="2"/>
  <c r="F14" i="2"/>
  <c r="F15" i="2"/>
  <c r="F16" i="2"/>
  <c r="F17" i="2"/>
  <c r="F6" i="2"/>
  <c r="E8" i="2"/>
  <c r="E9" i="2"/>
  <c r="E10" i="2"/>
  <c r="E11" i="2"/>
  <c r="E12" i="2"/>
  <c r="E13" i="2"/>
  <c r="E14" i="2"/>
  <c r="E15" i="2"/>
  <c r="E16" i="2"/>
  <c r="E17" i="2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7" i="2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6" i="1"/>
  <c r="F6" i="1"/>
  <c r="E7" i="1"/>
  <c r="F8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6" i="7"/>
  <c r="J6" i="7"/>
  <c r="E6" i="7"/>
  <c r="E6" i="3"/>
  <c r="E6" i="8"/>
  <c r="E6" i="2"/>
  <c r="E6" i="6"/>
  <c r="F6" i="8" l="1"/>
  <c r="E7" i="8"/>
  <c r="E7" i="11"/>
  <c r="F7" i="11" s="1"/>
  <c r="F7" i="9"/>
  <c r="E8" i="9"/>
  <c r="F6" i="3"/>
  <c r="E7" i="3"/>
  <c r="E8" i="1"/>
  <c r="F7" i="1"/>
  <c r="E7" i="7"/>
  <c r="F7" i="7" s="1"/>
  <c r="F6" i="7"/>
  <c r="E8" i="7"/>
  <c r="F7" i="8" l="1"/>
  <c r="E8" i="8"/>
  <c r="E8" i="11"/>
  <c r="F8" i="11" s="1"/>
  <c r="F8" i="9"/>
  <c r="E9" i="9"/>
  <c r="F7" i="3"/>
  <c r="E8" i="3"/>
  <c r="E9" i="1"/>
  <c r="F8" i="1"/>
  <c r="E9" i="7"/>
  <c r="F9" i="7" s="1"/>
  <c r="F8" i="8" l="1"/>
  <c r="E9" i="8"/>
  <c r="E9" i="11"/>
  <c r="F9" i="11" s="1"/>
  <c r="F9" i="9"/>
  <c r="E10" i="9"/>
  <c r="F8" i="3"/>
  <c r="E9" i="3"/>
  <c r="E10" i="1"/>
  <c r="F9" i="1"/>
  <c r="E10" i="7"/>
  <c r="F9" i="8" l="1"/>
  <c r="E10" i="8"/>
  <c r="E10" i="11"/>
  <c r="F10" i="11" s="1"/>
  <c r="F10" i="9"/>
  <c r="E11" i="9"/>
  <c r="F9" i="3"/>
  <c r="E10" i="3"/>
  <c r="E11" i="1"/>
  <c r="F10" i="1"/>
  <c r="F10" i="7"/>
  <c r="E11" i="7"/>
  <c r="F10" i="8" l="1"/>
  <c r="E11" i="8"/>
  <c r="E11" i="11"/>
  <c r="F11" i="11" s="1"/>
  <c r="F11" i="9"/>
  <c r="E12" i="9"/>
  <c r="F10" i="3"/>
  <c r="E11" i="3"/>
  <c r="E12" i="1"/>
  <c r="F11" i="1"/>
  <c r="F11" i="7"/>
  <c r="E12" i="7"/>
  <c r="F12" i="7" s="1"/>
  <c r="E13" i="7"/>
  <c r="F13" i="7" s="1"/>
  <c r="F11" i="8" l="1"/>
  <c r="E12" i="8"/>
  <c r="E12" i="11"/>
  <c r="F12" i="11" s="1"/>
  <c r="F12" i="9"/>
  <c r="E13" i="9"/>
  <c r="F11" i="3"/>
  <c r="E12" i="3"/>
  <c r="E13" i="1"/>
  <c r="F12" i="1"/>
  <c r="F12" i="8" l="1"/>
  <c r="E13" i="8"/>
  <c r="E13" i="11"/>
  <c r="F13" i="11" s="1"/>
  <c r="F13" i="9"/>
  <c r="E14" i="9"/>
  <c r="F12" i="3"/>
  <c r="E13" i="3"/>
  <c r="E14" i="1"/>
  <c r="F13" i="1"/>
  <c r="E14" i="7"/>
  <c r="F14" i="7" s="1"/>
  <c r="F13" i="8" l="1"/>
  <c r="E14" i="8"/>
  <c r="E14" i="11"/>
  <c r="F14" i="11" s="1"/>
  <c r="F14" i="9"/>
  <c r="E15" i="9"/>
  <c r="F13" i="3"/>
  <c r="E14" i="3"/>
  <c r="E15" i="1"/>
  <c r="F14" i="1"/>
  <c r="E15" i="7"/>
  <c r="F15" i="7" s="1"/>
  <c r="F14" i="8" l="1"/>
  <c r="E15" i="8"/>
  <c r="E15" i="11"/>
  <c r="F15" i="11" s="1"/>
  <c r="F15" i="9"/>
  <c r="E16" i="9"/>
  <c r="F14" i="3"/>
  <c r="E15" i="3"/>
  <c r="E16" i="1"/>
  <c r="F15" i="1"/>
  <c r="E16" i="7"/>
  <c r="F16" i="7" s="1"/>
  <c r="F15" i="8" l="1"/>
  <c r="E16" i="8"/>
  <c r="E16" i="11"/>
  <c r="F16" i="11" s="1"/>
  <c r="F16" i="9"/>
  <c r="E17" i="9"/>
  <c r="F15" i="3"/>
  <c r="E16" i="3"/>
  <c r="E17" i="1"/>
  <c r="F16" i="1"/>
  <c r="E17" i="7"/>
  <c r="F17" i="7" s="1"/>
  <c r="F16" i="8" l="1"/>
  <c r="E17" i="8"/>
  <c r="E17" i="11"/>
  <c r="F17" i="11" s="1"/>
  <c r="F17" i="9"/>
  <c r="E18" i="9"/>
  <c r="F16" i="3"/>
  <c r="E17" i="3"/>
  <c r="E18" i="1"/>
  <c r="F17" i="1"/>
  <c r="E18" i="7"/>
  <c r="F18" i="7" s="1"/>
  <c r="F17" i="8" l="1"/>
  <c r="E18" i="8"/>
  <c r="E18" i="11"/>
  <c r="F18" i="11" s="1"/>
  <c r="F18" i="9"/>
  <c r="E19" i="9"/>
  <c r="F17" i="3"/>
  <c r="E18" i="3"/>
  <c r="E19" i="1"/>
  <c r="F18" i="1"/>
  <c r="E19" i="7"/>
  <c r="F19" i="7" s="1"/>
  <c r="F18" i="8" l="1"/>
  <c r="E19" i="8"/>
  <c r="E19" i="11"/>
  <c r="F19" i="11" s="1"/>
  <c r="F19" i="9"/>
  <c r="E20" i="9"/>
  <c r="F18" i="3"/>
  <c r="E19" i="3"/>
  <c r="E20" i="1"/>
  <c r="F19" i="1"/>
  <c r="E20" i="7"/>
  <c r="F20" i="7" s="1"/>
  <c r="F19" i="8" l="1"/>
  <c r="E20" i="8"/>
  <c r="E20" i="11"/>
  <c r="F20" i="11" s="1"/>
  <c r="F20" i="9"/>
  <c r="E21" i="9"/>
  <c r="F19" i="3"/>
  <c r="E20" i="3"/>
  <c r="E21" i="1"/>
  <c r="F20" i="1"/>
  <c r="E21" i="7"/>
  <c r="F21" i="7" s="1"/>
  <c r="F20" i="8" l="1"/>
  <c r="E21" i="8"/>
  <c r="E21" i="11"/>
  <c r="F21" i="11" s="1"/>
  <c r="F21" i="9"/>
  <c r="E22" i="9"/>
  <c r="F20" i="3"/>
  <c r="E21" i="3"/>
  <c r="E22" i="1"/>
  <c r="F21" i="1"/>
  <c r="E22" i="7"/>
  <c r="F22" i="7" s="1"/>
  <c r="F21" i="8" l="1"/>
  <c r="E22" i="8"/>
  <c r="E22" i="11"/>
  <c r="F22" i="11" s="1"/>
  <c r="F22" i="9"/>
  <c r="E23" i="9"/>
  <c r="F21" i="3"/>
  <c r="E22" i="3"/>
  <c r="E23" i="1"/>
  <c r="F22" i="1"/>
  <c r="E23" i="7"/>
  <c r="F23" i="7" s="1"/>
  <c r="F22" i="8" l="1"/>
  <c r="E23" i="8"/>
  <c r="E23" i="11"/>
  <c r="F23" i="11" s="1"/>
  <c r="F23" i="9"/>
  <c r="E24" i="9"/>
  <c r="F22" i="3"/>
  <c r="E23" i="3"/>
  <c r="E24" i="1"/>
  <c r="F23" i="1"/>
  <c r="E24" i="7"/>
  <c r="F24" i="7" s="1"/>
  <c r="F23" i="8" l="1"/>
  <c r="E24" i="8"/>
  <c r="E24" i="11"/>
  <c r="F24" i="11" s="1"/>
  <c r="F24" i="9"/>
  <c r="E25" i="9"/>
  <c r="F23" i="3"/>
  <c r="E24" i="3"/>
  <c r="E25" i="1"/>
  <c r="F24" i="1"/>
  <c r="E25" i="7"/>
  <c r="F25" i="7" s="1"/>
  <c r="F24" i="8" l="1"/>
  <c r="E25" i="8"/>
  <c r="E25" i="11"/>
  <c r="F25" i="11" s="1"/>
  <c r="F25" i="9"/>
  <c r="E26" i="9"/>
  <c r="F24" i="3"/>
  <c r="E25" i="3"/>
  <c r="E26" i="1"/>
  <c r="F25" i="1"/>
  <c r="E26" i="7"/>
  <c r="F26" i="7" s="1"/>
  <c r="F25" i="8" l="1"/>
  <c r="E26" i="8"/>
  <c r="E26" i="11"/>
  <c r="F26" i="11" s="1"/>
  <c r="F26" i="9"/>
  <c r="E27" i="9"/>
  <c r="F25" i="3"/>
  <c r="E26" i="3"/>
  <c r="E27" i="1"/>
  <c r="F26" i="1"/>
  <c r="E27" i="7"/>
  <c r="F27" i="7" s="1"/>
  <c r="F26" i="8" l="1"/>
  <c r="E27" i="8"/>
  <c r="E27" i="11"/>
  <c r="F27" i="11" s="1"/>
  <c r="F27" i="9"/>
  <c r="E28" i="9"/>
  <c r="F26" i="3"/>
  <c r="E27" i="3"/>
  <c r="E28" i="1"/>
  <c r="F27" i="1"/>
  <c r="E28" i="7"/>
  <c r="F28" i="7" s="1"/>
  <c r="F27" i="8" l="1"/>
  <c r="E28" i="8"/>
  <c r="E28" i="11"/>
  <c r="F28" i="11" s="1"/>
  <c r="F28" i="9"/>
  <c r="E29" i="9"/>
  <c r="F27" i="3"/>
  <c r="E28" i="3"/>
  <c r="E29" i="1"/>
  <c r="F28" i="1"/>
  <c r="E29" i="7"/>
  <c r="F29" i="7" s="1"/>
  <c r="F28" i="8" l="1"/>
  <c r="E29" i="8"/>
  <c r="E29" i="11"/>
  <c r="F29" i="11" s="1"/>
  <c r="F29" i="9"/>
  <c r="E30" i="9"/>
  <c r="F28" i="3"/>
  <c r="E29" i="3"/>
  <c r="E30" i="1"/>
  <c r="F29" i="1"/>
  <c r="E30" i="7"/>
  <c r="F30" i="7" s="1"/>
  <c r="F29" i="8" l="1"/>
  <c r="E30" i="8"/>
  <c r="E30" i="11"/>
  <c r="F30" i="11" s="1"/>
  <c r="F30" i="9"/>
  <c r="E31" i="9"/>
  <c r="F29" i="3"/>
  <c r="E30" i="3"/>
  <c r="E31" i="1"/>
  <c r="F30" i="1"/>
  <c r="E31" i="7"/>
  <c r="F31" i="7" s="1"/>
  <c r="F30" i="8" l="1"/>
  <c r="E31" i="8"/>
  <c r="E31" i="11"/>
  <c r="F31" i="11" s="1"/>
  <c r="F31" i="9"/>
  <c r="E32" i="9"/>
  <c r="F30" i="3"/>
  <c r="E31" i="3"/>
  <c r="E32" i="1"/>
  <c r="F31" i="1"/>
  <c r="E32" i="7"/>
  <c r="F32" i="7" s="1"/>
  <c r="F31" i="8" l="1"/>
  <c r="E32" i="8"/>
  <c r="E32" i="11"/>
  <c r="F32" i="11" s="1"/>
  <c r="F32" i="9"/>
  <c r="E33" i="9"/>
  <c r="F31" i="3"/>
  <c r="E32" i="3"/>
  <c r="E33" i="1"/>
  <c r="F32" i="1"/>
  <c r="E33" i="7"/>
  <c r="F33" i="7" s="1"/>
  <c r="F32" i="8" l="1"/>
  <c r="E33" i="8"/>
  <c r="E33" i="11"/>
  <c r="F33" i="11" s="1"/>
  <c r="F33" i="9"/>
  <c r="E34" i="9"/>
  <c r="F32" i="3"/>
  <c r="E33" i="3"/>
  <c r="E34" i="1"/>
  <c r="F33" i="1"/>
  <c r="E34" i="7"/>
  <c r="F34" i="7" s="1"/>
  <c r="F33" i="8" l="1"/>
  <c r="E34" i="8"/>
  <c r="E34" i="11"/>
  <c r="F34" i="11" s="1"/>
  <c r="F34" i="9"/>
  <c r="E35" i="9"/>
  <c r="F33" i="3"/>
  <c r="E34" i="3"/>
  <c r="E35" i="1"/>
  <c r="F34" i="1"/>
  <c r="E35" i="7"/>
  <c r="F35" i="7" s="1"/>
  <c r="F34" i="8" l="1"/>
  <c r="E35" i="8"/>
  <c r="E35" i="11"/>
  <c r="F35" i="11" s="1"/>
  <c r="F35" i="9"/>
  <c r="E36" i="9"/>
  <c r="F36" i="9" s="1"/>
  <c r="F34" i="3"/>
  <c r="E35" i="3"/>
  <c r="E36" i="1"/>
  <c r="F36" i="1" s="1"/>
  <c r="F35" i="1"/>
  <c r="E36" i="11"/>
  <c r="F36" i="11" s="1"/>
  <c r="E36" i="7"/>
  <c r="F36" i="7" s="1"/>
  <c r="F35" i="8" l="1"/>
  <c r="E36" i="8"/>
  <c r="F36" i="8" s="1"/>
  <c r="F35" i="3"/>
  <c r="E36" i="3"/>
  <c r="F36" i="3" s="1"/>
</calcChain>
</file>

<file path=xl/sharedStrings.xml><?xml version="1.0" encoding="utf-8"?>
<sst xmlns="http://schemas.openxmlformats.org/spreadsheetml/2006/main" count="205" uniqueCount="58">
  <si>
    <t>Atlantis</t>
  </si>
  <si>
    <t>Belle Epine</t>
  </si>
  <si>
    <t>Bercy</t>
  </si>
  <si>
    <t>Carré Sénart</t>
  </si>
  <si>
    <t>Cergy</t>
  </si>
  <si>
    <t>GDN</t>
  </si>
  <si>
    <t>Nantes</t>
  </si>
  <si>
    <t>Strasbourg</t>
  </si>
  <si>
    <t>VDE</t>
  </si>
  <si>
    <t>Bethune</t>
  </si>
  <si>
    <t>St Lazare</t>
  </si>
  <si>
    <t>Caisse</t>
  </si>
  <si>
    <t>Coffre</t>
  </si>
  <si>
    <t>Dépôt</t>
  </si>
  <si>
    <t>Zelty</t>
  </si>
  <si>
    <t>A déposer</t>
  </si>
  <si>
    <t>Zelty Espèce</t>
  </si>
  <si>
    <t>FC Sortie Caisse</t>
  </si>
  <si>
    <t>FC Espèce</t>
  </si>
  <si>
    <t>Vraiment Caisse</t>
  </si>
  <si>
    <t>Commentaires</t>
  </si>
  <si>
    <t>Ecart de caisse</t>
  </si>
  <si>
    <t>FC pas remplis par restau</t>
  </si>
  <si>
    <t>Ecart explication ?</t>
  </si>
  <si>
    <t>Depot 100 en billet et 15,09 en piece ?</t>
  </si>
  <si>
    <t>Sortie explications</t>
  </si>
  <si>
    <t xml:space="preserve">Ecart explication ? </t>
  </si>
  <si>
    <t>Demander justif sortie c</t>
  </si>
  <si>
    <t>Ecart explication ? + Demander justif sortie c</t>
  </si>
  <si>
    <t>Explications</t>
  </si>
  <si>
    <t>7,70€ pb Tabesto client payé mais rien sur caisse</t>
  </si>
  <si>
    <t xml:space="preserve">2,50€ machine à café marche plus </t>
  </si>
  <si>
    <t>Ecart SC explication ?</t>
  </si>
  <si>
    <t>probleme depot mettre les bon montant par jours car 3 depots pas 1 tous les jours</t>
  </si>
  <si>
    <t>Ecart explication ?+ justif</t>
  </si>
  <si>
    <t>50€ faux billet trouvé + justif sortie caisse</t>
  </si>
  <si>
    <t>Ecart explication ? + justif</t>
  </si>
  <si>
    <t xml:space="preserve"> justif</t>
  </si>
  <si>
    <t>ECART DE 10 € CAISSE</t>
  </si>
  <si>
    <t>Explication restau</t>
  </si>
  <si>
    <t>Justif 223,12+18,44+150 =</t>
  </si>
  <si>
    <t>Justification restau</t>
  </si>
  <si>
    <t>Dépenses déplacement à Carré Sénart pour remplacer Alyssa</t>
  </si>
  <si>
    <t>Erreur de compatage</t>
  </si>
  <si>
    <t>Justif ok</t>
  </si>
  <si>
    <t>Rattrappage fond de caisse</t>
  </si>
  <si>
    <t>remb client</t>
  </si>
  <si>
    <t>Pas d'explication, aussi surpris</t>
  </si>
  <si>
    <t>Justif ok + achat gants</t>
  </si>
  <si>
    <t>Justif ok + achat sachets à emporter car en rupture</t>
  </si>
  <si>
    <t>Justificatif restau</t>
  </si>
  <si>
    <t>Changement process  de clôture de caisse/ assimilation compliqué</t>
  </si>
  <si>
    <t>Pourboire</t>
  </si>
  <si>
    <t>Justificatif Restau</t>
  </si>
  <si>
    <t>Nouveau JM donc ne peux pas expliquer</t>
  </si>
  <si>
    <t>Justif oki</t>
  </si>
  <si>
    <t>Fond de caisse sur Zelty = 0€</t>
  </si>
  <si>
    <t>Réajustement du fond de caisse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</si>
</sst>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[Red]\-#,##0.00\ &quot;€&quot;"/>
    <numFmt numFmtId="165" formatCode="_-* #,##0.00\ &quot;€&quot;_-;\-* #,##0.0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C04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5C2C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5682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1" applyFont="1"/>
    <xf numFmtId="165" fontId="3" fillId="0" borderId="0" xfId="1" applyFont="1" applyAlignment="1">
      <alignment horizontal="center" vertical="center"/>
    </xf>
    <xf numFmtId="165" fontId="0" fillId="0" borderId="0" xfId="1" applyFont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1" applyFont="1" applyAlignment="1">
      <alignment horizontal="right" vertical="center"/>
    </xf>
    <xf numFmtId="165" fontId="0" fillId="0" borderId="0" xfId="0" applyNumberFormat="1"/>
    <xf numFmtId="165" fontId="4" fillId="0" borderId="0" xfId="1" applyFont="1"/>
    <xf numFmtId="165" fontId="4" fillId="0" borderId="0" xfId="1" applyFont="1" applyAlignment="1">
      <alignment horizontal="center"/>
    </xf>
    <xf numFmtId="165" fontId="4" fillId="0" borderId="0" xfId="1" applyFont="1" applyAlignment="1">
      <alignment horizontal="right" vertical="center"/>
    </xf>
    <xf numFmtId="0" fontId="0" fillId="0" borderId="0" xfId="0" applyAlignment="1">
      <alignment horizontal="center"/>
    </xf>
    <xf numFmtId="165" fontId="0" fillId="0" borderId="0" xfId="1" applyFont="1" applyAlignment="1">
      <alignment horizontal="center"/>
    </xf>
    <xf numFmtId="165" fontId="0" fillId="0" borderId="0" xfId="1" applyFont="1" applyFill="1"/>
    <xf numFmtId="165" fontId="0" fillId="0" borderId="0" xfId="1" applyFont="1" applyFill="1" applyAlignment="1">
      <alignment horizontal="right"/>
    </xf>
    <xf numFmtId="165" fontId="1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/>
    </xf>
    <xf numFmtId="165" fontId="1" fillId="0" borderId="0" xfId="1" applyFont="1"/>
    <xf numFmtId="165" fontId="0" fillId="3" borderId="0" xfId="1" applyFont="1" applyFill="1" applyAlignment="1">
      <alignment horizontal="right" vertical="center"/>
    </xf>
    <xf numFmtId="165" fontId="0" fillId="3" borderId="0" xfId="1" applyFont="1" applyFill="1"/>
    <xf numFmtId="165" fontId="0" fillId="4" borderId="0" xfId="1" applyFont="1" applyFill="1"/>
    <xf numFmtId="165" fontId="0" fillId="4" borderId="0" xfId="1" applyFont="1" applyFill="1" applyAlignment="1">
      <alignment horizontal="center" vertical="center"/>
    </xf>
    <xf numFmtId="165" fontId="6" fillId="0" borderId="0" xfId="1" applyFont="1"/>
    <xf numFmtId="165" fontId="7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/>
    <xf numFmtId="165" fontId="3" fillId="0" borderId="0" xfId="1" applyFont="1"/>
    <xf numFmtId="165" fontId="6" fillId="0" borderId="0" xfId="1" applyFont="1" applyFill="1"/>
    <xf numFmtId="0" fontId="6" fillId="0" borderId="0" xfId="0" applyFont="1"/>
    <xf numFmtId="0" fontId="7" fillId="0" borderId="0" xfId="0" applyFont="1" applyAlignment="1">
      <alignment horizontal="center" vertical="center"/>
    </xf>
    <xf numFmtId="165" fontId="3" fillId="0" borderId="0" xfId="1" applyFont="1" applyFill="1" applyAlignment="1">
      <alignment horizontal="center" vertical="center"/>
    </xf>
    <xf numFmtId="165" fontId="7" fillId="0" borderId="0" xfId="1" applyFont="1" applyFill="1" applyAlignment="1">
      <alignment horizontal="center" vertical="center"/>
    </xf>
    <xf numFmtId="0" fontId="5" fillId="0" borderId="0" xfId="0" applyFont="1"/>
    <xf numFmtId="165" fontId="3" fillId="0" borderId="0" xfId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165" fontId="8" fillId="0" borderId="0" xfId="1" applyFont="1"/>
    <xf numFmtId="0" fontId="8" fillId="0" borderId="0" xfId="0" applyFont="1" applyAlignment="1">
      <alignment horizontal="center" vertical="center"/>
    </xf>
    <xf numFmtId="165" fontId="0" fillId="12" borderId="0" xfId="0" applyNumberFormat="1" applyFill="1"/>
    <xf numFmtId="165" fontId="0" fillId="12" borderId="0" xfId="1" applyFont="1" applyFill="1"/>
    <xf numFmtId="0" fontId="9" fillId="0" borderId="0" xfId="0" applyFont="1"/>
    <xf numFmtId="165" fontId="0" fillId="9" borderId="0" xfId="1" applyFont="1" applyFill="1"/>
    <xf numFmtId="164" fontId="0" fillId="0" borderId="0" xfId="1" applyNumberFormat="1" applyFont="1"/>
    <xf numFmtId="165" fontId="0" fillId="5" borderId="0" xfId="1" applyFont="1" applyFill="1"/>
    <xf numFmtId="165" fontId="0" fillId="8" borderId="0" xfId="1" applyFont="1" applyFill="1"/>
    <xf numFmtId="165" fontId="0" fillId="0" borderId="0" xfId="0" applyNumberFormat="1" applyAlignment="1">
      <alignment horizontal="center"/>
    </xf>
    <xf numFmtId="165" fontId="0" fillId="2" borderId="0" xfId="1" applyFont="1" applyFill="1"/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5" fontId="2" fillId="11" borderId="0" xfId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C0476"/>
      <color rgb="FF15C2CF"/>
      <color rgb="FFFFFF99"/>
      <color rgb="FF9568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FB1A-A912-4946-8159-A0A54AFBD120}">
  <sheetPr>
    <tabColor theme="8"/>
  </sheetPr>
  <dimension ref="B1:L36"/>
  <sheetViews>
    <sheetView topLeftCell="A5" workbookViewId="0">
      <selection activeCell="H16" sqref="H16"/>
    </sheetView>
  </sheetViews>
  <sheetFormatPr defaultColWidth="10.90625" defaultRowHeight="14.5" outlineLevelRow="1" x14ac:dyDescent="0.35"/>
  <cols>
    <col min="1" max="1" width="3.26953125" customWidth="1"/>
    <col min="2" max="2" width="11.81640625" customWidth="1"/>
    <col min="3" max="3" width="9" bestFit="1" customWidth="1"/>
    <col min="4" max="4" width="9" customWidth="1"/>
    <col min="5" max="6" width="10.36328125" bestFit="1" customWidth="1"/>
    <col min="7" max="7" width="10.36328125" customWidth="1"/>
    <col min="9" max="9" width="14.6328125" customWidth="1"/>
    <col min="10" max="10" width="15.90625" style="13" customWidth="1"/>
    <col min="11" max="11" width="15.54296875" customWidth="1"/>
    <col min="12" max="12" width="33.7265625" style="30" customWidth="1"/>
  </cols>
  <sheetData>
    <row r="1" spans="2:12" hidden="1" outlineLevel="1" x14ac:dyDescent="0.35"/>
    <row r="2" spans="2:12" s="4" customFormat="1" hidden="1" outlineLevel="1" x14ac:dyDescent="0.35">
      <c r="C2" s="4">
        <v>150</v>
      </c>
      <c r="E2" s="4">
        <v>400</v>
      </c>
      <c r="J2" s="13"/>
      <c r="L2" s="31"/>
    </row>
    <row r="3" spans="2:12" collapsed="1" x14ac:dyDescent="0.35"/>
    <row r="4" spans="2:12" s="3" customFormat="1" ht="25" customHeight="1" x14ac:dyDescent="0.35">
      <c r="C4" s="54" t="s">
        <v>0</v>
      </c>
      <c r="D4" s="54"/>
      <c r="E4" s="54"/>
      <c r="F4" s="54"/>
      <c r="G4" s="54"/>
      <c r="H4" s="54"/>
      <c r="I4" s="54"/>
      <c r="J4" s="54"/>
      <c r="K4" s="54"/>
      <c r="L4" s="54"/>
    </row>
    <row r="5" spans="2:12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</row>
    <row r="6" spans="2:12" x14ac:dyDescent="0.35">
      <c r="B6" s="1">
        <v>46173</v>
      </c>
      <c r="C6" s="4">
        <v>150</v>
      </c>
      <c r="D6" s="4">
        <v>0</v>
      </c>
      <c r="E6" s="4">
        <v>400</v>
      </c>
      <c r="F6" s="4">
        <f>+E6-$E$2-I6</f>
        <v>0</v>
      </c>
      <c r="G6" s="4">
        <v>0</v>
      </c>
      <c r="H6" s="4">
        <v>0</v>
      </c>
      <c r="I6" s="4">
        <v>0</v>
      </c>
      <c r="J6" s="13">
        <f>D6-H6</f>
        <v>0</v>
      </c>
      <c r="K6" s="12">
        <f>H6-I6</f>
        <v>0</v>
      </c>
    </row>
    <row r="7" spans="2:12" x14ac:dyDescent="0.35">
      <c r="B7" s="1">
        <v>46174</v>
      </c>
      <c r="C7" s="4">
        <v>150</v>
      </c>
      <c r="D7" s="4">
        <v>33.700000000000003</v>
      </c>
      <c r="E7" s="4">
        <f>+E6+D7-G6</f>
        <v>433.7</v>
      </c>
      <c r="F7" s="4">
        <f t="shared" ref="F7:F36" si="0">+E7-$E$2-I7</f>
        <v>33.699999999999989</v>
      </c>
      <c r="G7" s="4">
        <v>0</v>
      </c>
      <c r="H7" s="18">
        <v>33.700000000000003</v>
      </c>
      <c r="I7" s="4">
        <v>0</v>
      </c>
      <c r="J7" s="13">
        <f t="shared" ref="J7:J36" si="1">D7-H7</f>
        <v>0</v>
      </c>
      <c r="K7" s="12">
        <f t="shared" ref="K7:K36" si="2">H7-I7</f>
        <v>33.700000000000003</v>
      </c>
    </row>
    <row r="8" spans="2:12" x14ac:dyDescent="0.35">
      <c r="B8" s="1">
        <v>46175</v>
      </c>
      <c r="C8" s="4">
        <v>150</v>
      </c>
      <c r="D8" s="4">
        <v>2.9</v>
      </c>
      <c r="E8" s="4">
        <f t="shared" ref="E8:E36" si="3">+E7+D8-G7</f>
        <v>436.59999999999997</v>
      </c>
      <c r="F8" s="4">
        <f t="shared" si="0"/>
        <v>36.599999999999966</v>
      </c>
      <c r="G8" s="4">
        <v>0</v>
      </c>
      <c r="H8" s="4">
        <v>0</v>
      </c>
      <c r="I8" s="4">
        <v>0</v>
      </c>
      <c r="J8" s="13">
        <f t="shared" si="1"/>
        <v>2.9</v>
      </c>
      <c r="K8" s="12">
        <f t="shared" si="2"/>
        <v>0</v>
      </c>
    </row>
    <row r="9" spans="2:12" x14ac:dyDescent="0.35">
      <c r="B9" s="1">
        <v>46176</v>
      </c>
      <c r="C9" s="4">
        <v>150</v>
      </c>
      <c r="D9" s="4">
        <v>0.8</v>
      </c>
      <c r="E9" s="4">
        <f t="shared" si="3"/>
        <v>437.4</v>
      </c>
      <c r="F9" s="4">
        <f t="shared" si="0"/>
        <v>37.399999999999977</v>
      </c>
      <c r="G9" s="4">
        <v>0</v>
      </c>
      <c r="H9" s="4">
        <v>0.8</v>
      </c>
      <c r="I9" s="4">
        <v>0</v>
      </c>
      <c r="J9" s="13">
        <f t="shared" si="1"/>
        <v>0</v>
      </c>
      <c r="K9" s="12">
        <f t="shared" si="2"/>
        <v>0.8</v>
      </c>
    </row>
    <row r="10" spans="2:12" x14ac:dyDescent="0.35">
      <c r="B10" s="1">
        <v>46177</v>
      </c>
      <c r="C10" s="4">
        <v>150</v>
      </c>
      <c r="D10" s="4">
        <v>80.400000000000006</v>
      </c>
      <c r="E10" s="4">
        <f t="shared" si="3"/>
        <v>517.79999999999995</v>
      </c>
      <c r="F10" s="4">
        <f t="shared" si="0"/>
        <v>117.79999999999995</v>
      </c>
      <c r="G10" s="4">
        <v>0</v>
      </c>
      <c r="H10" s="4">
        <v>79.44</v>
      </c>
      <c r="I10" s="4">
        <v>0</v>
      </c>
      <c r="J10" s="13">
        <f t="shared" si="1"/>
        <v>0.96000000000000796</v>
      </c>
      <c r="K10" s="12">
        <f t="shared" si="2"/>
        <v>79.44</v>
      </c>
    </row>
    <row r="11" spans="2:12" x14ac:dyDescent="0.35">
      <c r="B11" s="1">
        <v>46178</v>
      </c>
      <c r="C11" s="4">
        <v>150</v>
      </c>
      <c r="D11" s="4">
        <v>71.349999999999994</v>
      </c>
      <c r="E11" s="4">
        <f t="shared" si="3"/>
        <v>589.15</v>
      </c>
      <c r="F11" s="4">
        <f t="shared" si="0"/>
        <v>-171.06</v>
      </c>
      <c r="G11" s="4">
        <v>0</v>
      </c>
      <c r="H11" s="4">
        <v>71.349999999999994</v>
      </c>
      <c r="I11" s="4">
        <v>360.21</v>
      </c>
      <c r="J11" s="13">
        <f t="shared" si="1"/>
        <v>0</v>
      </c>
      <c r="K11" s="12">
        <f t="shared" si="2"/>
        <v>-288.86</v>
      </c>
      <c r="L11" s="30" t="s">
        <v>25</v>
      </c>
    </row>
    <row r="12" spans="2:12" x14ac:dyDescent="0.35">
      <c r="B12" s="1">
        <v>46179</v>
      </c>
      <c r="C12" s="4">
        <v>150</v>
      </c>
      <c r="D12" s="4">
        <v>126.05</v>
      </c>
      <c r="E12" s="4">
        <f t="shared" si="3"/>
        <v>715.19999999999993</v>
      </c>
      <c r="F12" s="4">
        <f t="shared" si="0"/>
        <v>315.19999999999993</v>
      </c>
      <c r="G12" s="4">
        <v>0</v>
      </c>
      <c r="H12" s="4">
        <v>126.05</v>
      </c>
      <c r="I12" s="4">
        <v>0</v>
      </c>
      <c r="J12" s="13">
        <f t="shared" si="1"/>
        <v>0</v>
      </c>
      <c r="K12" s="12">
        <f t="shared" si="2"/>
        <v>126.05</v>
      </c>
    </row>
    <row r="13" spans="2:12" x14ac:dyDescent="0.35">
      <c r="B13" s="1">
        <v>46180</v>
      </c>
      <c r="C13" s="4">
        <v>150</v>
      </c>
      <c r="D13" s="4">
        <v>115.68</v>
      </c>
      <c r="E13" s="4">
        <f t="shared" si="3"/>
        <v>830.87999999999988</v>
      </c>
      <c r="F13" s="4">
        <f t="shared" si="0"/>
        <v>430.87999999999988</v>
      </c>
      <c r="G13" s="4">
        <v>0</v>
      </c>
      <c r="H13" s="4">
        <v>0</v>
      </c>
      <c r="I13" s="4">
        <v>0</v>
      </c>
      <c r="J13" s="13">
        <f t="shared" si="1"/>
        <v>115.68</v>
      </c>
      <c r="K13" s="12">
        <f t="shared" si="2"/>
        <v>0</v>
      </c>
      <c r="L13" s="30" t="s">
        <v>22</v>
      </c>
    </row>
    <row r="14" spans="2:12" x14ac:dyDescent="0.35">
      <c r="B14" s="1">
        <v>46181</v>
      </c>
      <c r="C14" s="4">
        <v>150</v>
      </c>
      <c r="D14" s="4">
        <v>0</v>
      </c>
      <c r="E14" s="4">
        <f t="shared" si="3"/>
        <v>830.87999999999988</v>
      </c>
      <c r="F14" s="4">
        <f t="shared" si="0"/>
        <v>430.87999999999988</v>
      </c>
      <c r="G14" s="49">
        <v>115.19</v>
      </c>
      <c r="H14" s="4">
        <v>0</v>
      </c>
      <c r="I14" s="4">
        <v>0</v>
      </c>
      <c r="J14" s="13">
        <f t="shared" si="1"/>
        <v>0</v>
      </c>
      <c r="K14" s="12">
        <f t="shared" si="2"/>
        <v>0</v>
      </c>
      <c r="L14" s="30" t="s">
        <v>24</v>
      </c>
    </row>
    <row r="15" spans="2:12" x14ac:dyDescent="0.35">
      <c r="B15" s="1">
        <v>46182</v>
      </c>
      <c r="C15" s="4">
        <v>150</v>
      </c>
      <c r="D15" s="4">
        <v>37.65</v>
      </c>
      <c r="E15" s="4">
        <f t="shared" si="3"/>
        <v>753.33999999999992</v>
      </c>
      <c r="F15" s="4">
        <f t="shared" si="0"/>
        <v>353.33999999999992</v>
      </c>
      <c r="G15" s="4">
        <v>0</v>
      </c>
      <c r="H15" s="4">
        <v>37.65</v>
      </c>
      <c r="I15" s="4">
        <v>0</v>
      </c>
      <c r="J15" s="13">
        <f t="shared" si="1"/>
        <v>0</v>
      </c>
      <c r="K15" s="12">
        <f t="shared" si="2"/>
        <v>37.65</v>
      </c>
    </row>
    <row r="16" spans="2:12" x14ac:dyDescent="0.35">
      <c r="B16" s="1">
        <v>46183</v>
      </c>
      <c r="C16" s="4">
        <v>150</v>
      </c>
      <c r="D16" s="4">
        <v>41.7</v>
      </c>
      <c r="E16" s="4">
        <f t="shared" si="3"/>
        <v>795.04</v>
      </c>
      <c r="F16" s="4">
        <f t="shared" si="0"/>
        <v>395.03999999999996</v>
      </c>
      <c r="G16" s="4">
        <v>0</v>
      </c>
      <c r="H16" s="4">
        <v>15.2</v>
      </c>
      <c r="I16" s="4">
        <v>0</v>
      </c>
      <c r="J16" s="13">
        <f t="shared" si="1"/>
        <v>26.500000000000004</v>
      </c>
      <c r="K16" s="12">
        <f t="shared" si="2"/>
        <v>15.2</v>
      </c>
      <c r="L16" s="30" t="s">
        <v>23</v>
      </c>
    </row>
    <row r="17" spans="2:12" x14ac:dyDescent="0.35">
      <c r="B17" s="1">
        <v>46184</v>
      </c>
      <c r="C17" s="4">
        <v>150</v>
      </c>
      <c r="D17" s="4">
        <v>37.700000000000003</v>
      </c>
      <c r="E17" s="4">
        <f t="shared" si="3"/>
        <v>832.74</v>
      </c>
      <c r="F17" s="4">
        <f t="shared" si="0"/>
        <v>432.74</v>
      </c>
      <c r="G17" s="4">
        <v>0</v>
      </c>
      <c r="H17" s="4">
        <v>37.700000000000003</v>
      </c>
      <c r="I17" s="4">
        <v>0</v>
      </c>
      <c r="J17" s="13">
        <f t="shared" si="1"/>
        <v>0</v>
      </c>
      <c r="K17" s="12">
        <f t="shared" si="2"/>
        <v>37.700000000000003</v>
      </c>
    </row>
    <row r="18" spans="2:12" x14ac:dyDescent="0.35">
      <c r="B18" s="1">
        <v>46185</v>
      </c>
      <c r="C18" s="4">
        <v>150</v>
      </c>
      <c r="D18" s="4">
        <v>58</v>
      </c>
      <c r="E18" s="4">
        <f t="shared" si="3"/>
        <v>890.74</v>
      </c>
      <c r="F18" s="4">
        <f t="shared" si="0"/>
        <v>490.74</v>
      </c>
      <c r="G18" s="4">
        <v>0</v>
      </c>
      <c r="H18" s="4">
        <v>79.88</v>
      </c>
      <c r="I18" s="4">
        <v>0</v>
      </c>
      <c r="J18" s="13">
        <f t="shared" si="1"/>
        <v>-21.879999999999995</v>
      </c>
      <c r="K18" s="12">
        <f t="shared" si="2"/>
        <v>79.88</v>
      </c>
      <c r="L18" s="30" t="s">
        <v>23</v>
      </c>
    </row>
    <row r="19" spans="2:12" x14ac:dyDescent="0.35">
      <c r="B19" s="1">
        <v>46186</v>
      </c>
      <c r="C19" s="4">
        <v>150</v>
      </c>
      <c r="D19" s="4">
        <v>47.6</v>
      </c>
      <c r="E19" s="4">
        <f t="shared" si="3"/>
        <v>938.34</v>
      </c>
      <c r="F19" s="4">
        <f t="shared" si="0"/>
        <v>538.34</v>
      </c>
      <c r="G19" s="4">
        <v>0</v>
      </c>
      <c r="H19" s="4">
        <v>47.6</v>
      </c>
      <c r="I19" s="4">
        <v>0</v>
      </c>
      <c r="J19" s="13">
        <f t="shared" si="1"/>
        <v>0</v>
      </c>
      <c r="K19" s="12">
        <f t="shared" si="2"/>
        <v>47.6</v>
      </c>
    </row>
    <row r="20" spans="2:12" x14ac:dyDescent="0.35">
      <c r="B20" s="1">
        <v>46187</v>
      </c>
      <c r="C20" s="4">
        <v>150</v>
      </c>
      <c r="D20" s="4">
        <v>0</v>
      </c>
      <c r="E20" s="4">
        <f t="shared" si="3"/>
        <v>938.34</v>
      </c>
      <c r="F20" s="4">
        <f t="shared" si="0"/>
        <v>538.34</v>
      </c>
      <c r="G20" s="4">
        <v>0</v>
      </c>
      <c r="H20" s="4">
        <v>0</v>
      </c>
      <c r="I20" s="4">
        <v>0</v>
      </c>
      <c r="J20" s="13">
        <f t="shared" si="1"/>
        <v>0</v>
      </c>
      <c r="K20" s="12">
        <f t="shared" si="2"/>
        <v>0</v>
      </c>
    </row>
    <row r="21" spans="2:12" x14ac:dyDescent="0.35">
      <c r="B21" s="1">
        <v>46188</v>
      </c>
      <c r="C21" s="4">
        <v>150</v>
      </c>
      <c r="D21" s="4">
        <v>57.51</v>
      </c>
      <c r="E21" s="4">
        <f t="shared" si="3"/>
        <v>995.85</v>
      </c>
      <c r="F21" s="4">
        <f t="shared" si="0"/>
        <v>595.85</v>
      </c>
      <c r="G21" s="4">
        <v>0</v>
      </c>
      <c r="H21" s="4">
        <v>57.51</v>
      </c>
      <c r="I21" s="4">
        <v>0</v>
      </c>
      <c r="J21" s="13">
        <f t="shared" si="1"/>
        <v>0</v>
      </c>
      <c r="K21" s="12">
        <f t="shared" si="2"/>
        <v>57.51</v>
      </c>
    </row>
    <row r="22" spans="2:12" x14ac:dyDescent="0.35">
      <c r="B22" s="1">
        <v>46189</v>
      </c>
      <c r="C22" s="4">
        <v>150</v>
      </c>
      <c r="D22" s="4">
        <v>34.700000000000003</v>
      </c>
      <c r="E22" s="4">
        <f t="shared" si="3"/>
        <v>1030.55</v>
      </c>
      <c r="F22" s="4">
        <f t="shared" si="0"/>
        <v>630.54999999999995</v>
      </c>
      <c r="G22" s="4">
        <v>0</v>
      </c>
      <c r="H22" s="4">
        <v>34.700000000000003</v>
      </c>
      <c r="I22" s="4">
        <v>0</v>
      </c>
      <c r="J22" s="13">
        <f t="shared" si="1"/>
        <v>0</v>
      </c>
      <c r="K22" s="12">
        <f t="shared" si="2"/>
        <v>34.700000000000003</v>
      </c>
    </row>
    <row r="23" spans="2:12" x14ac:dyDescent="0.35">
      <c r="B23" s="1">
        <v>46190</v>
      </c>
      <c r="C23" s="4">
        <v>150</v>
      </c>
      <c r="D23" s="4">
        <v>14.9</v>
      </c>
      <c r="E23" s="4">
        <f t="shared" si="3"/>
        <v>1045.45</v>
      </c>
      <c r="F23" s="4">
        <f t="shared" si="0"/>
        <v>645.45000000000005</v>
      </c>
      <c r="G23" s="49">
        <v>189.7</v>
      </c>
      <c r="H23" s="4">
        <v>14.9</v>
      </c>
      <c r="I23" s="4">
        <v>0</v>
      </c>
      <c r="J23" s="13">
        <f t="shared" si="1"/>
        <v>0</v>
      </c>
      <c r="K23" s="12">
        <f t="shared" si="2"/>
        <v>14.9</v>
      </c>
    </row>
    <row r="24" spans="2:12" x14ac:dyDescent="0.35">
      <c r="B24" s="1">
        <v>46191</v>
      </c>
      <c r="C24" s="4">
        <v>150</v>
      </c>
      <c r="D24" s="4">
        <v>15.7</v>
      </c>
      <c r="E24" s="4">
        <f t="shared" si="3"/>
        <v>871.45</v>
      </c>
      <c r="F24" s="4">
        <f t="shared" si="0"/>
        <v>471.45000000000005</v>
      </c>
      <c r="G24" s="4">
        <v>0</v>
      </c>
      <c r="H24" s="4">
        <v>15.7</v>
      </c>
      <c r="I24" s="4">
        <v>0</v>
      </c>
      <c r="J24" s="13">
        <f t="shared" si="1"/>
        <v>0</v>
      </c>
      <c r="K24" s="12">
        <f t="shared" si="2"/>
        <v>15.7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871.45</v>
      </c>
      <c r="F25" s="4">
        <f t="shared" si="0"/>
        <v>471.45000000000005</v>
      </c>
      <c r="G25" s="4">
        <v>0</v>
      </c>
      <c r="H25" s="4">
        <v>10.73</v>
      </c>
      <c r="I25" s="4">
        <v>0</v>
      </c>
      <c r="J25" s="13">
        <f t="shared" si="1"/>
        <v>-10.73</v>
      </c>
      <c r="K25" s="12">
        <f t="shared" si="2"/>
        <v>10.73</v>
      </c>
    </row>
    <row r="26" spans="2:12" x14ac:dyDescent="0.35">
      <c r="B26" s="1">
        <v>46193</v>
      </c>
      <c r="C26" s="4">
        <v>150</v>
      </c>
      <c r="D26" s="4">
        <v>133.99</v>
      </c>
      <c r="E26" s="4">
        <f t="shared" si="3"/>
        <v>1005.44</v>
      </c>
      <c r="F26" s="4">
        <f t="shared" si="0"/>
        <v>559.54000000000008</v>
      </c>
      <c r="G26" s="48">
        <v>32.93</v>
      </c>
      <c r="H26" s="4">
        <v>133.99</v>
      </c>
      <c r="I26" s="4">
        <v>45.9</v>
      </c>
      <c r="J26" s="13">
        <f t="shared" si="1"/>
        <v>0</v>
      </c>
      <c r="K26" s="12">
        <f t="shared" si="2"/>
        <v>88.09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972.5100000000001</v>
      </c>
      <c r="F27" s="4">
        <f t="shared" si="0"/>
        <v>572.5100000000001</v>
      </c>
      <c r="G27" s="4">
        <v>0</v>
      </c>
      <c r="H27" s="4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2" x14ac:dyDescent="0.35">
      <c r="B28" s="1">
        <v>46195</v>
      </c>
      <c r="C28" s="4">
        <v>150</v>
      </c>
      <c r="D28" s="4">
        <v>14.8</v>
      </c>
      <c r="E28" s="4">
        <f t="shared" si="3"/>
        <v>987.31000000000006</v>
      </c>
      <c r="F28" s="4">
        <f t="shared" si="0"/>
        <v>587.31000000000006</v>
      </c>
      <c r="G28" s="4">
        <v>0</v>
      </c>
      <c r="H28" s="4">
        <v>14.8</v>
      </c>
      <c r="I28" s="4">
        <v>0</v>
      </c>
      <c r="J28" s="13">
        <f t="shared" si="1"/>
        <v>0</v>
      </c>
      <c r="K28" s="12">
        <f t="shared" si="2"/>
        <v>14.8</v>
      </c>
    </row>
    <row r="29" spans="2:12" x14ac:dyDescent="0.35">
      <c r="B29" s="1">
        <v>46196</v>
      </c>
      <c r="C29" s="4">
        <v>150</v>
      </c>
      <c r="D29" s="4">
        <v>28.85</v>
      </c>
      <c r="E29" s="4">
        <f t="shared" si="3"/>
        <v>1016.1600000000001</v>
      </c>
      <c r="F29" s="4">
        <f t="shared" si="0"/>
        <v>616.16000000000008</v>
      </c>
      <c r="G29" s="4">
        <v>0</v>
      </c>
      <c r="H29" s="4">
        <v>28.85</v>
      </c>
      <c r="I29" s="4">
        <v>0</v>
      </c>
      <c r="J29" s="13">
        <f t="shared" si="1"/>
        <v>0</v>
      </c>
      <c r="K29" s="12">
        <f t="shared" si="2"/>
        <v>28.85</v>
      </c>
    </row>
    <row r="30" spans="2:12" x14ac:dyDescent="0.35">
      <c r="B30" s="1">
        <v>46197</v>
      </c>
      <c r="C30" s="4">
        <v>150</v>
      </c>
      <c r="D30" s="4">
        <v>172.73</v>
      </c>
      <c r="E30" s="4">
        <f t="shared" si="3"/>
        <v>1188.8900000000001</v>
      </c>
      <c r="F30" s="4">
        <f t="shared" si="0"/>
        <v>696.98000000000013</v>
      </c>
      <c r="G30" s="4">
        <v>0</v>
      </c>
      <c r="H30" s="4">
        <v>172.73</v>
      </c>
      <c r="I30" s="4">
        <v>91.91</v>
      </c>
      <c r="J30" s="13">
        <f t="shared" si="1"/>
        <v>0</v>
      </c>
      <c r="K30" s="12">
        <f t="shared" si="2"/>
        <v>80.819999999999993</v>
      </c>
    </row>
    <row r="31" spans="2:12" x14ac:dyDescent="0.35">
      <c r="B31" s="1">
        <v>46198</v>
      </c>
      <c r="C31" s="4">
        <v>150</v>
      </c>
      <c r="D31" s="4">
        <v>98.78</v>
      </c>
      <c r="E31" s="4">
        <f t="shared" si="3"/>
        <v>1287.67</v>
      </c>
      <c r="F31" s="4">
        <f t="shared" si="0"/>
        <v>887.67000000000007</v>
      </c>
      <c r="G31" s="4">
        <v>0</v>
      </c>
      <c r="H31" s="4">
        <v>0</v>
      </c>
      <c r="I31" s="4">
        <v>0</v>
      </c>
      <c r="J31" s="13">
        <f t="shared" si="1"/>
        <v>98.78</v>
      </c>
      <c r="K31" s="12">
        <f t="shared" si="2"/>
        <v>0</v>
      </c>
    </row>
    <row r="32" spans="2:12" x14ac:dyDescent="0.35">
      <c r="B32" s="1">
        <v>46199</v>
      </c>
      <c r="C32" s="4">
        <v>150</v>
      </c>
      <c r="D32" s="4">
        <v>70.400000000000006</v>
      </c>
      <c r="E32" s="4">
        <f t="shared" si="3"/>
        <v>1358.0700000000002</v>
      </c>
      <c r="F32" s="4">
        <f t="shared" si="0"/>
        <v>958.07000000000016</v>
      </c>
      <c r="G32" s="4">
        <v>0</v>
      </c>
      <c r="H32" s="4">
        <v>0</v>
      </c>
      <c r="I32" s="4">
        <v>0</v>
      </c>
      <c r="J32" s="13">
        <f t="shared" si="1"/>
        <v>70.400000000000006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88</v>
      </c>
      <c r="E33" s="4">
        <f t="shared" si="3"/>
        <v>1446.0700000000002</v>
      </c>
      <c r="F33" s="4">
        <f t="shared" si="0"/>
        <v>1046.0700000000002</v>
      </c>
      <c r="G33" s="4">
        <v>0</v>
      </c>
      <c r="H33" s="4">
        <v>0</v>
      </c>
      <c r="I33" s="4">
        <v>0</v>
      </c>
      <c r="J33" s="13">
        <f t="shared" si="1"/>
        <v>88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1446.0700000000002</v>
      </c>
      <c r="F34" s="4">
        <f t="shared" si="0"/>
        <v>1046.0700000000002</v>
      </c>
      <c r="G34" s="4">
        <v>0</v>
      </c>
      <c r="H34" s="4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1446.0700000000002</v>
      </c>
      <c r="F35" s="4">
        <f t="shared" si="0"/>
        <v>1046.0700000000002</v>
      </c>
      <c r="G35" s="4">
        <v>0</v>
      </c>
      <c r="H35" s="4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1446.0700000000002</v>
      </c>
      <c r="F36" s="4">
        <f t="shared" si="0"/>
        <v>1046.0700000000002</v>
      </c>
      <c r="G36" s="4">
        <v>0</v>
      </c>
      <c r="H36" s="4">
        <v>0</v>
      </c>
      <c r="I36" s="4">
        <v>0</v>
      </c>
      <c r="J36" s="13">
        <f t="shared" si="1"/>
        <v>0</v>
      </c>
      <c r="K36" s="12">
        <f t="shared" si="2"/>
        <v>0</v>
      </c>
    </row>
  </sheetData>
  <mergeCells count="1">
    <mergeCell ref="C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256E-6607-4729-9E19-9EAA0F6777EE}">
  <sheetPr>
    <tabColor rgb="FFBC0476"/>
  </sheetPr>
  <dimension ref="B1:M36"/>
  <sheetViews>
    <sheetView topLeftCell="A3" workbookViewId="0">
      <selection activeCell="L36" sqref="L36"/>
    </sheetView>
  </sheetViews>
  <sheetFormatPr defaultColWidth="10.90625" defaultRowHeight="14.5" outlineLevelRow="1" x14ac:dyDescent="0.35"/>
  <cols>
    <col min="1" max="1" width="3.26953125" customWidth="1"/>
    <col min="2" max="2" width="13" customWidth="1"/>
    <col min="3" max="3" width="9" bestFit="1" customWidth="1"/>
    <col min="4" max="4" width="9" customWidth="1"/>
    <col min="5" max="5" width="11.36328125" customWidth="1"/>
    <col min="6" max="6" width="10.81640625" style="7" customWidth="1"/>
    <col min="7" max="7" width="11.54296875" style="10" customWidth="1"/>
    <col min="9" max="9" width="14.36328125" customWidth="1"/>
    <col min="10" max="10" width="15.90625" style="13" customWidth="1"/>
    <col min="11" max="11" width="16.6328125" customWidth="1"/>
    <col min="12" max="12" width="22.81640625" style="30" customWidth="1"/>
    <col min="13" max="13" width="61" style="30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F2" s="8"/>
      <c r="G2" s="11"/>
      <c r="J2" s="13"/>
      <c r="L2" s="31"/>
      <c r="M2" s="31"/>
    </row>
    <row r="3" spans="2:13" collapsed="1" x14ac:dyDescent="0.35"/>
    <row r="4" spans="2:13" s="2" customFormat="1" ht="24.5" customHeight="1" x14ac:dyDescent="0.35">
      <c r="C4" s="55" t="s">
        <v>1</v>
      </c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9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  <c r="M5" s="3" t="s">
        <v>50</v>
      </c>
    </row>
    <row r="6" spans="2:13" x14ac:dyDescent="0.35">
      <c r="B6" s="1">
        <v>46173</v>
      </c>
      <c r="C6" s="4">
        <v>150.97</v>
      </c>
      <c r="D6" s="4">
        <v>211.4</v>
      </c>
      <c r="E6" s="4">
        <f>400+187.1+72.02+164.81</f>
        <v>823.93000000000006</v>
      </c>
      <c r="F6" s="8">
        <f>+E6-$E$2-I6</f>
        <v>423.93000000000006</v>
      </c>
      <c r="G6" s="11">
        <v>0</v>
      </c>
      <c r="H6" s="19">
        <v>164.81</v>
      </c>
      <c r="I6" s="19">
        <v>0</v>
      </c>
      <c r="J6" s="13">
        <f>D6-H6</f>
        <v>46.59</v>
      </c>
      <c r="K6" s="12">
        <f>H6-I6</f>
        <v>164.81</v>
      </c>
      <c r="L6" s="30" t="s">
        <v>23</v>
      </c>
      <c r="M6" s="30" t="s">
        <v>51</v>
      </c>
    </row>
    <row r="7" spans="2:13" x14ac:dyDescent="0.35">
      <c r="B7" s="1">
        <v>46174</v>
      </c>
      <c r="C7" s="4">
        <v>150.97</v>
      </c>
      <c r="D7" s="4">
        <v>18.399999999999999</v>
      </c>
      <c r="E7" s="4">
        <f>+E6+D7-G6</f>
        <v>842.33</v>
      </c>
      <c r="F7" s="8">
        <f t="shared" ref="F7:F36" si="0">+E7-$E$2-I7</f>
        <v>442.33000000000004</v>
      </c>
      <c r="G7" s="11">
        <v>0</v>
      </c>
      <c r="H7" s="19">
        <v>19.809999999999999</v>
      </c>
      <c r="I7" s="19">
        <v>0</v>
      </c>
      <c r="J7" s="13">
        <f t="shared" ref="J7:J36" si="1">D7-H7</f>
        <v>-1.4100000000000001</v>
      </c>
      <c r="K7" s="12">
        <f t="shared" ref="K7:K36" si="2">H7-I7</f>
        <v>19.809999999999999</v>
      </c>
    </row>
    <row r="8" spans="2:13" x14ac:dyDescent="0.35">
      <c r="B8" s="1">
        <v>46175</v>
      </c>
      <c r="C8" s="4">
        <v>150.97</v>
      </c>
      <c r="D8" s="4">
        <v>16.3</v>
      </c>
      <c r="E8" s="4">
        <f t="shared" ref="E8:E36" si="3">+E7+D8-G7</f>
        <v>858.63</v>
      </c>
      <c r="F8" s="8">
        <f t="shared" si="0"/>
        <v>458.63</v>
      </c>
      <c r="G8" s="23">
        <v>440</v>
      </c>
      <c r="H8" s="19">
        <v>16.3</v>
      </c>
      <c r="I8" s="19">
        <v>0</v>
      </c>
      <c r="J8" s="13">
        <f t="shared" si="1"/>
        <v>0</v>
      </c>
      <c r="K8" s="12">
        <f t="shared" si="2"/>
        <v>16.3</v>
      </c>
    </row>
    <row r="9" spans="2:13" x14ac:dyDescent="0.35">
      <c r="B9" s="1">
        <v>46176</v>
      </c>
      <c r="C9" s="4">
        <v>150.97</v>
      </c>
      <c r="D9" s="4">
        <v>18.399999999999999</v>
      </c>
      <c r="E9" s="4">
        <f t="shared" si="3"/>
        <v>437.03</v>
      </c>
      <c r="F9" s="8">
        <f t="shared" si="0"/>
        <v>37.029999999999973</v>
      </c>
      <c r="G9" s="11">
        <v>0</v>
      </c>
      <c r="H9" s="19">
        <v>18.399999999999999</v>
      </c>
      <c r="I9" s="19">
        <v>0</v>
      </c>
      <c r="J9" s="13">
        <f t="shared" si="1"/>
        <v>0</v>
      </c>
      <c r="K9" s="12">
        <f t="shared" si="2"/>
        <v>18.399999999999999</v>
      </c>
    </row>
    <row r="10" spans="2:13" x14ac:dyDescent="0.35">
      <c r="B10" s="1">
        <v>46177</v>
      </c>
      <c r="C10" s="4">
        <v>150.97</v>
      </c>
      <c r="D10" s="4">
        <v>145.74</v>
      </c>
      <c r="E10" s="4">
        <f t="shared" si="3"/>
        <v>582.77</v>
      </c>
      <c r="F10" s="8">
        <f t="shared" si="0"/>
        <v>182.76999999999998</v>
      </c>
      <c r="G10" s="11">
        <v>0</v>
      </c>
      <c r="H10" s="19">
        <v>145.74</v>
      </c>
      <c r="I10" s="19">
        <v>0</v>
      </c>
      <c r="J10" s="13">
        <f t="shared" si="1"/>
        <v>0</v>
      </c>
      <c r="K10" s="12">
        <f t="shared" si="2"/>
        <v>145.74</v>
      </c>
    </row>
    <row r="11" spans="2:13" x14ac:dyDescent="0.35">
      <c r="B11" s="1">
        <v>46178</v>
      </c>
      <c r="C11" s="4">
        <v>150.97</v>
      </c>
      <c r="D11" s="4">
        <v>174.5</v>
      </c>
      <c r="E11" s="4">
        <f t="shared" si="3"/>
        <v>757.27</v>
      </c>
      <c r="F11" s="8">
        <f t="shared" si="0"/>
        <v>357.27</v>
      </c>
      <c r="G11" s="11">
        <v>0</v>
      </c>
      <c r="H11" s="19">
        <v>174.5</v>
      </c>
      <c r="I11" s="19">
        <v>0</v>
      </c>
      <c r="J11" s="13">
        <f t="shared" si="1"/>
        <v>0</v>
      </c>
      <c r="K11" s="12">
        <f t="shared" si="2"/>
        <v>174.5</v>
      </c>
    </row>
    <row r="12" spans="2:13" x14ac:dyDescent="0.35">
      <c r="B12" s="1">
        <v>46179</v>
      </c>
      <c r="C12" s="4">
        <v>150.97</v>
      </c>
      <c r="D12" s="4">
        <v>51</v>
      </c>
      <c r="E12" s="4">
        <f t="shared" si="3"/>
        <v>808.27</v>
      </c>
      <c r="F12" s="8">
        <f t="shared" si="0"/>
        <v>408.27</v>
      </c>
      <c r="G12" s="11">
        <v>0</v>
      </c>
      <c r="H12" s="19">
        <v>51</v>
      </c>
      <c r="I12" s="19">
        <v>0</v>
      </c>
      <c r="J12" s="13">
        <f t="shared" si="1"/>
        <v>0</v>
      </c>
      <c r="K12" s="12">
        <f t="shared" si="2"/>
        <v>51</v>
      </c>
    </row>
    <row r="13" spans="2:13" x14ac:dyDescent="0.35">
      <c r="B13" s="1">
        <v>46180</v>
      </c>
      <c r="C13" s="4">
        <v>150.97</v>
      </c>
      <c r="D13" s="4">
        <v>155.19999999999999</v>
      </c>
      <c r="E13" s="4">
        <f t="shared" si="3"/>
        <v>963.47</v>
      </c>
      <c r="F13" s="8">
        <f t="shared" si="0"/>
        <v>563.47</v>
      </c>
      <c r="G13" s="11">
        <v>0</v>
      </c>
      <c r="H13" s="19">
        <v>155.19999999999999</v>
      </c>
      <c r="I13" s="19">
        <v>0</v>
      </c>
      <c r="J13" s="13">
        <f t="shared" si="1"/>
        <v>0</v>
      </c>
      <c r="K13" s="12">
        <f t="shared" si="2"/>
        <v>155.19999999999999</v>
      </c>
    </row>
    <row r="14" spans="2:13" x14ac:dyDescent="0.35">
      <c r="B14" s="1">
        <v>46181</v>
      </c>
      <c r="C14" s="4">
        <v>150.97</v>
      </c>
      <c r="D14" s="4">
        <v>89.9</v>
      </c>
      <c r="E14" s="4">
        <f t="shared" si="3"/>
        <v>1053.3700000000001</v>
      </c>
      <c r="F14" s="8">
        <f t="shared" si="0"/>
        <v>653.37000000000012</v>
      </c>
      <c r="G14" s="23">
        <v>525</v>
      </c>
      <c r="H14" s="19">
        <v>89.9</v>
      </c>
      <c r="I14" s="19">
        <v>0</v>
      </c>
      <c r="J14" s="13">
        <f t="shared" si="1"/>
        <v>0</v>
      </c>
      <c r="K14" s="12">
        <f t="shared" si="2"/>
        <v>89.9</v>
      </c>
    </row>
    <row r="15" spans="2:13" x14ac:dyDescent="0.35">
      <c r="B15" s="1">
        <v>46182</v>
      </c>
      <c r="C15" s="4">
        <v>150.97</v>
      </c>
      <c r="D15" s="4">
        <v>75.8</v>
      </c>
      <c r="E15" s="4">
        <f t="shared" si="3"/>
        <v>604.17000000000007</v>
      </c>
      <c r="F15" s="8">
        <f t="shared" si="0"/>
        <v>204.17000000000007</v>
      </c>
      <c r="G15" s="11">
        <v>0</v>
      </c>
      <c r="H15" s="19">
        <v>75.8</v>
      </c>
      <c r="I15" s="19">
        <v>0</v>
      </c>
      <c r="J15" s="13">
        <f t="shared" si="1"/>
        <v>0</v>
      </c>
      <c r="K15" s="12">
        <f t="shared" si="2"/>
        <v>75.8</v>
      </c>
    </row>
    <row r="16" spans="2:13" x14ac:dyDescent="0.35">
      <c r="B16" s="1">
        <v>46183</v>
      </c>
      <c r="C16" s="4">
        <v>150.97</v>
      </c>
      <c r="D16" s="4">
        <v>50.4</v>
      </c>
      <c r="E16" s="4">
        <f t="shared" si="3"/>
        <v>654.57000000000005</v>
      </c>
      <c r="F16" s="8">
        <f t="shared" si="0"/>
        <v>254.57000000000005</v>
      </c>
      <c r="G16" s="11">
        <v>0</v>
      </c>
      <c r="H16" s="19">
        <v>50.4</v>
      </c>
      <c r="I16" s="19">
        <v>0</v>
      </c>
      <c r="J16" s="13">
        <f t="shared" si="1"/>
        <v>0</v>
      </c>
      <c r="K16" s="12">
        <f t="shared" si="2"/>
        <v>50.4</v>
      </c>
    </row>
    <row r="17" spans="2:13" x14ac:dyDescent="0.35">
      <c r="B17" s="1">
        <v>46184</v>
      </c>
      <c r="C17" s="4">
        <v>150.97</v>
      </c>
      <c r="D17" s="4">
        <v>86.5</v>
      </c>
      <c r="E17" s="4">
        <f t="shared" si="3"/>
        <v>741.07</v>
      </c>
      <c r="F17" s="8">
        <f t="shared" si="0"/>
        <v>341.07000000000005</v>
      </c>
      <c r="G17" s="11">
        <v>0</v>
      </c>
      <c r="H17" s="19">
        <v>86.5</v>
      </c>
      <c r="I17" s="19">
        <v>0</v>
      </c>
      <c r="J17" s="13">
        <f t="shared" si="1"/>
        <v>0</v>
      </c>
      <c r="K17" s="12">
        <f t="shared" si="2"/>
        <v>86.5</v>
      </c>
    </row>
    <row r="18" spans="2:13" x14ac:dyDescent="0.35">
      <c r="B18" s="1">
        <v>46185</v>
      </c>
      <c r="C18" s="4">
        <v>150.97</v>
      </c>
      <c r="D18" s="4">
        <v>38.9</v>
      </c>
      <c r="E18" s="4">
        <f t="shared" si="3"/>
        <v>779.97</v>
      </c>
      <c r="F18" s="8">
        <f t="shared" si="0"/>
        <v>379.97</v>
      </c>
      <c r="G18" s="11">
        <v>0</v>
      </c>
      <c r="H18" s="19">
        <v>44.93</v>
      </c>
      <c r="I18" s="19">
        <v>0</v>
      </c>
      <c r="J18" s="13">
        <f t="shared" si="1"/>
        <v>-6.0300000000000011</v>
      </c>
      <c r="K18" s="12">
        <f t="shared" si="2"/>
        <v>44.93</v>
      </c>
      <c r="L18" s="30" t="s">
        <v>23</v>
      </c>
      <c r="M18" s="30" t="s">
        <v>52</v>
      </c>
    </row>
    <row r="19" spans="2:13" x14ac:dyDescent="0.35">
      <c r="B19" s="1">
        <v>46186</v>
      </c>
      <c r="C19" s="4">
        <v>150.97</v>
      </c>
      <c r="D19" s="4">
        <v>58.22</v>
      </c>
      <c r="E19" s="4">
        <f t="shared" si="3"/>
        <v>838.19</v>
      </c>
      <c r="F19" s="8">
        <f t="shared" si="0"/>
        <v>438.19000000000005</v>
      </c>
      <c r="G19" s="11">
        <v>0</v>
      </c>
      <c r="H19" s="19">
        <v>91.79</v>
      </c>
      <c r="I19" s="19">
        <v>0</v>
      </c>
      <c r="J19" s="13">
        <f t="shared" si="1"/>
        <v>-33.570000000000007</v>
      </c>
      <c r="K19" s="12">
        <f t="shared" si="2"/>
        <v>91.79</v>
      </c>
      <c r="L19" s="30" t="s">
        <v>23</v>
      </c>
      <c r="M19" s="30" t="s">
        <v>52</v>
      </c>
    </row>
    <row r="20" spans="2:13" x14ac:dyDescent="0.35">
      <c r="B20" s="1">
        <v>46187</v>
      </c>
      <c r="C20" s="4">
        <v>150.97</v>
      </c>
      <c r="D20" s="4">
        <v>56</v>
      </c>
      <c r="E20" s="4">
        <f t="shared" si="3"/>
        <v>894.19</v>
      </c>
      <c r="F20" s="8">
        <f t="shared" si="0"/>
        <v>494.19000000000005</v>
      </c>
      <c r="G20" s="11">
        <v>0</v>
      </c>
      <c r="H20" s="19">
        <v>60</v>
      </c>
      <c r="I20" s="19">
        <v>0</v>
      </c>
      <c r="J20" s="13">
        <f t="shared" si="1"/>
        <v>-4</v>
      </c>
      <c r="K20" s="12">
        <f t="shared" si="2"/>
        <v>60</v>
      </c>
    </row>
    <row r="21" spans="2:13" x14ac:dyDescent="0.35">
      <c r="B21" s="1">
        <v>46188</v>
      </c>
      <c r="C21" s="4">
        <v>150.97</v>
      </c>
      <c r="D21" s="4">
        <v>196</v>
      </c>
      <c r="E21" s="4">
        <f t="shared" si="3"/>
        <v>1090.19</v>
      </c>
      <c r="F21" s="8">
        <f t="shared" si="0"/>
        <v>690.19</v>
      </c>
      <c r="G21" s="23">
        <v>500</v>
      </c>
      <c r="H21" s="19">
        <v>196.09</v>
      </c>
      <c r="I21" s="19">
        <v>0</v>
      </c>
      <c r="J21" s="13">
        <f t="shared" si="1"/>
        <v>-9.0000000000003411E-2</v>
      </c>
      <c r="K21" s="12">
        <f t="shared" si="2"/>
        <v>196.09</v>
      </c>
    </row>
    <row r="22" spans="2:13" x14ac:dyDescent="0.35">
      <c r="B22" s="1">
        <v>46189</v>
      </c>
      <c r="C22" s="4">
        <v>150.97</v>
      </c>
      <c r="D22" s="4">
        <v>66.7</v>
      </c>
      <c r="E22" s="4">
        <f t="shared" si="3"/>
        <v>656.8900000000001</v>
      </c>
      <c r="F22" s="8">
        <f t="shared" si="0"/>
        <v>256.8900000000001</v>
      </c>
      <c r="G22" s="11">
        <v>0</v>
      </c>
      <c r="H22" s="19">
        <v>66.7</v>
      </c>
      <c r="I22" s="19">
        <v>0</v>
      </c>
      <c r="J22" s="13">
        <f t="shared" si="1"/>
        <v>0</v>
      </c>
      <c r="K22" s="12">
        <f t="shared" si="2"/>
        <v>66.7</v>
      </c>
    </row>
    <row r="23" spans="2:13" x14ac:dyDescent="0.35">
      <c r="B23" s="1">
        <v>46190</v>
      </c>
      <c r="C23" s="4">
        <v>150.97</v>
      </c>
      <c r="D23" s="4">
        <v>33</v>
      </c>
      <c r="E23" s="4">
        <f t="shared" si="3"/>
        <v>689.8900000000001</v>
      </c>
      <c r="F23" s="8">
        <f t="shared" si="0"/>
        <v>289.8900000000001</v>
      </c>
      <c r="G23" s="11">
        <v>0</v>
      </c>
      <c r="H23" s="19">
        <v>33</v>
      </c>
      <c r="I23" s="19">
        <v>0</v>
      </c>
      <c r="J23" s="13">
        <f t="shared" si="1"/>
        <v>0</v>
      </c>
      <c r="K23" s="12">
        <f t="shared" si="2"/>
        <v>33</v>
      </c>
    </row>
    <row r="24" spans="2:13" x14ac:dyDescent="0.35">
      <c r="B24" s="1">
        <v>46191</v>
      </c>
      <c r="C24" s="4">
        <v>150.97</v>
      </c>
      <c r="D24" s="4">
        <v>51.9</v>
      </c>
      <c r="E24" s="4">
        <f t="shared" si="3"/>
        <v>741.79000000000008</v>
      </c>
      <c r="F24" s="8">
        <f t="shared" si="0"/>
        <v>341.79000000000008</v>
      </c>
      <c r="G24" s="11">
        <v>0</v>
      </c>
      <c r="H24" s="19">
        <v>51.9</v>
      </c>
      <c r="I24" s="19">
        <v>0</v>
      </c>
      <c r="J24" s="13">
        <f t="shared" si="1"/>
        <v>0</v>
      </c>
      <c r="K24" s="12">
        <f t="shared" si="2"/>
        <v>51.9</v>
      </c>
    </row>
    <row r="25" spans="2:13" x14ac:dyDescent="0.35">
      <c r="B25" s="1">
        <v>46192</v>
      </c>
      <c r="C25" s="4">
        <v>150.97</v>
      </c>
      <c r="D25" s="4">
        <v>130.30000000000001</v>
      </c>
      <c r="E25" s="4">
        <f t="shared" si="3"/>
        <v>872.09000000000015</v>
      </c>
      <c r="F25" s="8">
        <f t="shared" si="0"/>
        <v>468.52000000000015</v>
      </c>
      <c r="G25" s="11">
        <v>0</v>
      </c>
      <c r="H25" s="19">
        <v>130.30000000000001</v>
      </c>
      <c r="I25" s="19">
        <v>3.57</v>
      </c>
      <c r="J25" s="13">
        <f t="shared" si="1"/>
        <v>0</v>
      </c>
      <c r="K25" s="12">
        <f t="shared" si="2"/>
        <v>126.73000000000002</v>
      </c>
    </row>
    <row r="26" spans="2:13" x14ac:dyDescent="0.35">
      <c r="B26" s="1">
        <v>46193</v>
      </c>
      <c r="C26" s="4">
        <v>150.97</v>
      </c>
      <c r="D26" s="4">
        <v>316.8</v>
      </c>
      <c r="E26" s="4">
        <f t="shared" si="3"/>
        <v>1188.8900000000001</v>
      </c>
      <c r="F26" s="8">
        <f t="shared" si="0"/>
        <v>778.13000000000011</v>
      </c>
      <c r="G26" s="11">
        <v>0</v>
      </c>
      <c r="H26" s="19">
        <v>306.04000000000002</v>
      </c>
      <c r="I26" s="19">
        <v>10.76</v>
      </c>
      <c r="J26" s="13">
        <f t="shared" si="1"/>
        <v>10.759999999999991</v>
      </c>
      <c r="K26" s="12">
        <f t="shared" si="2"/>
        <v>295.28000000000003</v>
      </c>
    </row>
    <row r="27" spans="2:13" x14ac:dyDescent="0.35">
      <c r="B27" s="1">
        <v>46194</v>
      </c>
      <c r="C27" s="4">
        <v>150.97</v>
      </c>
      <c r="D27" s="4">
        <v>98.4</v>
      </c>
      <c r="E27" s="4">
        <f t="shared" si="3"/>
        <v>1287.2900000000002</v>
      </c>
      <c r="F27" s="8">
        <f t="shared" si="0"/>
        <v>887.29000000000019</v>
      </c>
      <c r="G27" s="11">
        <v>0</v>
      </c>
      <c r="H27" s="19">
        <v>98.4</v>
      </c>
      <c r="I27" s="19">
        <v>0</v>
      </c>
      <c r="J27" s="13">
        <f t="shared" si="1"/>
        <v>0</v>
      </c>
      <c r="K27" s="12">
        <f t="shared" si="2"/>
        <v>98.4</v>
      </c>
    </row>
    <row r="28" spans="2:13" x14ac:dyDescent="0.35">
      <c r="B28" s="1">
        <v>46195</v>
      </c>
      <c r="C28" s="4">
        <v>150.97</v>
      </c>
      <c r="D28" s="4">
        <v>148.6</v>
      </c>
      <c r="E28" s="4">
        <f t="shared" si="3"/>
        <v>1435.89</v>
      </c>
      <c r="F28" s="8">
        <f t="shared" si="0"/>
        <v>1035.8900000000001</v>
      </c>
      <c r="G28" s="23">
        <v>880</v>
      </c>
      <c r="H28" s="19">
        <v>148.6</v>
      </c>
      <c r="I28" s="19">
        <v>0</v>
      </c>
      <c r="J28" s="13">
        <f t="shared" si="1"/>
        <v>0</v>
      </c>
      <c r="K28" s="12">
        <f t="shared" si="2"/>
        <v>148.6</v>
      </c>
    </row>
    <row r="29" spans="2:13" x14ac:dyDescent="0.35">
      <c r="B29" s="1">
        <v>46196</v>
      </c>
      <c r="C29" s="4">
        <v>150.97</v>
      </c>
      <c r="D29" s="4">
        <v>137</v>
      </c>
      <c r="E29" s="4">
        <f t="shared" si="3"/>
        <v>692.8900000000001</v>
      </c>
      <c r="F29" s="8">
        <f t="shared" si="0"/>
        <v>292.8900000000001</v>
      </c>
      <c r="G29" s="11">
        <v>0</v>
      </c>
      <c r="H29" s="19">
        <v>137</v>
      </c>
      <c r="I29" s="19">
        <v>0</v>
      </c>
      <c r="J29" s="13">
        <f t="shared" si="1"/>
        <v>0</v>
      </c>
      <c r="K29" s="12">
        <f t="shared" si="2"/>
        <v>137</v>
      </c>
    </row>
    <row r="30" spans="2:13" x14ac:dyDescent="0.35">
      <c r="B30" s="1">
        <v>46197</v>
      </c>
      <c r="C30" s="4">
        <v>150.97</v>
      </c>
      <c r="D30" s="4">
        <v>64.2</v>
      </c>
      <c r="E30" s="4">
        <f t="shared" si="3"/>
        <v>757.09000000000015</v>
      </c>
      <c r="F30" s="8">
        <f t="shared" si="0"/>
        <v>357.09000000000015</v>
      </c>
      <c r="G30" s="11">
        <v>0</v>
      </c>
      <c r="H30" s="19">
        <v>64.2</v>
      </c>
      <c r="I30" s="19">
        <v>0</v>
      </c>
      <c r="J30" s="13">
        <f t="shared" si="1"/>
        <v>0</v>
      </c>
      <c r="K30" s="12">
        <f t="shared" si="2"/>
        <v>64.2</v>
      </c>
    </row>
    <row r="31" spans="2:13" x14ac:dyDescent="0.35">
      <c r="B31" s="1">
        <v>46198</v>
      </c>
      <c r="C31" s="4">
        <v>150.97</v>
      </c>
      <c r="D31" s="4">
        <v>71</v>
      </c>
      <c r="E31" s="4">
        <f t="shared" si="3"/>
        <v>828.09000000000015</v>
      </c>
      <c r="F31" s="8">
        <f t="shared" si="0"/>
        <v>428.09000000000015</v>
      </c>
      <c r="G31" s="11">
        <v>0</v>
      </c>
      <c r="H31" s="19">
        <v>71</v>
      </c>
      <c r="I31" s="19">
        <v>0</v>
      </c>
      <c r="J31" s="13">
        <f t="shared" si="1"/>
        <v>0</v>
      </c>
      <c r="K31" s="12">
        <f t="shared" si="2"/>
        <v>71</v>
      </c>
    </row>
    <row r="32" spans="2:13" x14ac:dyDescent="0.35">
      <c r="B32" s="1">
        <v>46199</v>
      </c>
      <c r="C32" s="4">
        <v>150.97</v>
      </c>
      <c r="D32" s="4">
        <v>118.1</v>
      </c>
      <c r="E32" s="4">
        <f t="shared" si="3"/>
        <v>946.19000000000017</v>
      </c>
      <c r="F32" s="8">
        <f t="shared" si="0"/>
        <v>546.19000000000017</v>
      </c>
      <c r="G32" s="11">
        <v>0</v>
      </c>
      <c r="H32" s="19">
        <v>118.1</v>
      </c>
      <c r="I32" s="19">
        <v>0</v>
      </c>
      <c r="J32" s="13">
        <f t="shared" si="1"/>
        <v>0</v>
      </c>
      <c r="K32" s="12">
        <f t="shared" si="2"/>
        <v>118.1</v>
      </c>
    </row>
    <row r="33" spans="2:11" x14ac:dyDescent="0.35">
      <c r="B33" s="1">
        <v>46200</v>
      </c>
      <c r="C33" s="4">
        <v>150.97</v>
      </c>
      <c r="D33" s="4">
        <v>126.2</v>
      </c>
      <c r="E33" s="4">
        <f t="shared" si="3"/>
        <v>1072.3900000000001</v>
      </c>
      <c r="F33" s="8">
        <f t="shared" si="0"/>
        <v>648.63000000000011</v>
      </c>
      <c r="G33" s="11">
        <v>0</v>
      </c>
      <c r="H33" s="19">
        <v>102.44</v>
      </c>
      <c r="I33" s="19">
        <v>23.76</v>
      </c>
      <c r="J33" s="13">
        <f t="shared" si="1"/>
        <v>23.760000000000005</v>
      </c>
      <c r="K33" s="12">
        <f t="shared" si="2"/>
        <v>78.679999999999993</v>
      </c>
    </row>
    <row r="34" spans="2:11" x14ac:dyDescent="0.35">
      <c r="B34" s="1">
        <v>46201</v>
      </c>
      <c r="C34" s="4">
        <v>150.97</v>
      </c>
      <c r="D34" s="4">
        <v>161.24</v>
      </c>
      <c r="E34" s="4">
        <f t="shared" si="3"/>
        <v>1233.6300000000001</v>
      </c>
      <c r="F34" s="8">
        <f t="shared" si="0"/>
        <v>833.63000000000011</v>
      </c>
      <c r="G34" s="11">
        <v>0</v>
      </c>
      <c r="H34" s="19">
        <v>161.24</v>
      </c>
      <c r="I34" s="19">
        <v>0</v>
      </c>
      <c r="J34" s="13">
        <f t="shared" si="1"/>
        <v>0</v>
      </c>
      <c r="K34" s="12">
        <f t="shared" si="2"/>
        <v>161.24</v>
      </c>
    </row>
    <row r="35" spans="2:11" x14ac:dyDescent="0.35">
      <c r="B35" s="1">
        <v>46202</v>
      </c>
      <c r="C35" s="4">
        <v>150.97</v>
      </c>
      <c r="D35" s="4">
        <v>0</v>
      </c>
      <c r="E35" s="4">
        <f t="shared" si="3"/>
        <v>1233.6300000000001</v>
      </c>
      <c r="F35" s="8">
        <f t="shared" si="0"/>
        <v>833.63000000000011</v>
      </c>
      <c r="G35" s="11">
        <v>0</v>
      </c>
      <c r="H35" s="19">
        <v>0</v>
      </c>
      <c r="I35" s="19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150.97</v>
      </c>
      <c r="D36" s="4">
        <v>0</v>
      </c>
      <c r="E36" s="4">
        <f t="shared" si="3"/>
        <v>1233.6300000000001</v>
      </c>
      <c r="F36" s="8">
        <f t="shared" si="0"/>
        <v>833.63000000000011</v>
      </c>
      <c r="G36" s="11">
        <v>0</v>
      </c>
      <c r="H36" s="19">
        <v>0</v>
      </c>
      <c r="I36" s="19">
        <v>0</v>
      </c>
      <c r="J36" s="13">
        <f t="shared" si="1"/>
        <v>0</v>
      </c>
      <c r="K36" s="12">
        <f t="shared" si="2"/>
        <v>0</v>
      </c>
    </row>
  </sheetData>
  <mergeCells count="1">
    <mergeCell ref="C4:M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4E25-E1ED-4625-B6FC-748846630213}">
  <sheetPr>
    <tabColor rgb="FF0070C0"/>
  </sheetPr>
  <dimension ref="B1:M36"/>
  <sheetViews>
    <sheetView topLeftCell="A3" workbookViewId="0">
      <selection activeCell="D25" sqref="D25"/>
    </sheetView>
  </sheetViews>
  <sheetFormatPr defaultColWidth="10.90625" defaultRowHeight="14.5" outlineLevelRow="1" x14ac:dyDescent="0.35"/>
  <cols>
    <col min="1" max="1" width="3.26953125" customWidth="1"/>
    <col min="2" max="2" width="12.08984375" customWidth="1"/>
    <col min="3" max="3" width="9" bestFit="1" customWidth="1"/>
    <col min="4" max="4" width="9" customWidth="1"/>
    <col min="5" max="7" width="10.36328125" bestFit="1" customWidth="1"/>
    <col min="9" max="9" width="14.81640625" customWidth="1"/>
    <col min="10" max="10" width="16.08984375" style="13" customWidth="1"/>
    <col min="11" max="11" width="15" customWidth="1"/>
    <col min="12" max="12" width="37.26953125" style="30" customWidth="1"/>
    <col min="13" max="13" width="51.26953125" style="30" customWidth="1"/>
  </cols>
  <sheetData>
    <row r="1" spans="2:13" hidden="1" outlineLevel="1" x14ac:dyDescent="0.35"/>
    <row r="2" spans="2:13" s="4" customFormat="1" hidden="1" outlineLevel="1" x14ac:dyDescent="0.35">
      <c r="C2" s="4">
        <v>150.19999999999999</v>
      </c>
      <c r="E2" s="4">
        <v>600</v>
      </c>
      <c r="J2" s="13"/>
      <c r="L2" s="31"/>
      <c r="M2" s="31"/>
    </row>
    <row r="3" spans="2:13" collapsed="1" x14ac:dyDescent="0.35"/>
    <row r="4" spans="2:13" s="2" customFormat="1" ht="23.5" customHeight="1" x14ac:dyDescent="0.35">
      <c r="C4" s="56" t="s">
        <v>2</v>
      </c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  <c r="M5" s="3" t="s">
        <v>53</v>
      </c>
    </row>
    <row r="6" spans="2:13" x14ac:dyDescent="0.35">
      <c r="B6" s="1">
        <v>46173</v>
      </c>
      <c r="C6" s="4">
        <v>150.19999999999999</v>
      </c>
      <c r="D6" s="4">
        <v>177.9</v>
      </c>
      <c r="E6" s="4">
        <f>+E2+3455</f>
        <v>4055</v>
      </c>
      <c r="F6" s="4">
        <f>+E6-$E$2-I6</f>
        <v>3455</v>
      </c>
      <c r="G6" s="4">
        <v>0</v>
      </c>
      <c r="H6" s="18">
        <v>314.89999999999998</v>
      </c>
      <c r="I6" s="18">
        <v>0</v>
      </c>
      <c r="J6" s="13">
        <f>D6-H6</f>
        <v>-136.99999999999997</v>
      </c>
      <c r="K6" s="18">
        <f>H6-I6</f>
        <v>314.89999999999998</v>
      </c>
      <c r="L6" s="30" t="s">
        <v>23</v>
      </c>
      <c r="M6" s="30" t="s">
        <v>54</v>
      </c>
    </row>
    <row r="7" spans="2:13" x14ac:dyDescent="0.35">
      <c r="B7" s="1">
        <v>46174</v>
      </c>
      <c r="C7" s="4">
        <v>150.19999999999999</v>
      </c>
      <c r="D7" s="4">
        <v>54.8</v>
      </c>
      <c r="E7" s="4">
        <f>+E6+D7-G6</f>
        <v>4109.8</v>
      </c>
      <c r="F7" s="4">
        <f t="shared" ref="F7:F36" si="0">+E7-$E$2-I7</f>
        <v>3509.8</v>
      </c>
      <c r="G7" s="4">
        <v>0</v>
      </c>
      <c r="H7" s="18">
        <v>54.8</v>
      </c>
      <c r="I7" s="18">
        <v>0</v>
      </c>
      <c r="J7" s="13">
        <f t="shared" ref="J7:J36" si="1">D7-H7</f>
        <v>0</v>
      </c>
      <c r="K7" s="18">
        <f t="shared" ref="K7:K36" si="2">H7-I7</f>
        <v>54.8</v>
      </c>
    </row>
    <row r="8" spans="2:13" x14ac:dyDescent="0.35">
      <c r="B8" s="1">
        <v>46175</v>
      </c>
      <c r="C8" s="4">
        <v>150.19999999999999</v>
      </c>
      <c r="D8" s="4">
        <v>58.2</v>
      </c>
      <c r="E8" s="4">
        <f t="shared" ref="E8:E36" si="3">+E7+D8-G7</f>
        <v>4168</v>
      </c>
      <c r="F8" s="4">
        <f t="shared" si="0"/>
        <v>3568</v>
      </c>
      <c r="G8" s="4">
        <v>0</v>
      </c>
      <c r="H8" s="32">
        <v>213.5</v>
      </c>
      <c r="I8" s="18">
        <v>0</v>
      </c>
      <c r="J8" s="13">
        <f t="shared" si="1"/>
        <v>-155.30000000000001</v>
      </c>
      <c r="K8" s="18">
        <f t="shared" si="2"/>
        <v>213.5</v>
      </c>
      <c r="L8" s="30" t="s">
        <v>23</v>
      </c>
      <c r="M8" s="30" t="s">
        <v>56</v>
      </c>
    </row>
    <row r="9" spans="2:13" x14ac:dyDescent="0.35">
      <c r="B9" s="1">
        <v>46176</v>
      </c>
      <c r="C9" s="4">
        <v>150.19999999999999</v>
      </c>
      <c r="D9" s="4">
        <v>127.97</v>
      </c>
      <c r="E9" s="4">
        <f t="shared" si="3"/>
        <v>4295.97</v>
      </c>
      <c r="F9" s="4">
        <f t="shared" si="0"/>
        <v>3695.9700000000003</v>
      </c>
      <c r="G9" s="4">
        <v>0</v>
      </c>
      <c r="H9" s="18">
        <v>127.97</v>
      </c>
      <c r="I9" s="18">
        <v>0</v>
      </c>
      <c r="J9" s="13">
        <f t="shared" si="1"/>
        <v>0</v>
      </c>
      <c r="K9" s="18">
        <f t="shared" si="2"/>
        <v>127.97</v>
      </c>
    </row>
    <row r="10" spans="2:13" x14ac:dyDescent="0.35">
      <c r="B10" s="1">
        <v>46177</v>
      </c>
      <c r="C10" s="4">
        <v>150.19999999999999</v>
      </c>
      <c r="D10" s="4">
        <v>86.1</v>
      </c>
      <c r="E10" s="4">
        <f t="shared" si="3"/>
        <v>4382.0700000000006</v>
      </c>
      <c r="F10" s="4">
        <f t="shared" si="0"/>
        <v>3782.0700000000006</v>
      </c>
      <c r="G10" s="4">
        <v>0</v>
      </c>
      <c r="H10" s="18">
        <v>86.1</v>
      </c>
      <c r="I10" s="18">
        <v>0</v>
      </c>
      <c r="J10" s="13">
        <f t="shared" si="1"/>
        <v>0</v>
      </c>
      <c r="K10" s="18">
        <f t="shared" si="2"/>
        <v>86.1</v>
      </c>
    </row>
    <row r="11" spans="2:13" x14ac:dyDescent="0.35">
      <c r="B11" s="1">
        <v>46178</v>
      </c>
      <c r="C11" s="4">
        <v>150.19999999999999</v>
      </c>
      <c r="D11" s="4">
        <v>224.3</v>
      </c>
      <c r="E11" s="4">
        <f t="shared" si="3"/>
        <v>4606.3700000000008</v>
      </c>
      <c r="F11" s="4">
        <f t="shared" si="0"/>
        <v>4006.3700000000008</v>
      </c>
      <c r="G11" s="4">
        <v>0</v>
      </c>
      <c r="H11" s="18">
        <v>224.3</v>
      </c>
      <c r="I11" s="18">
        <v>0</v>
      </c>
      <c r="J11" s="13">
        <f t="shared" si="1"/>
        <v>0</v>
      </c>
      <c r="K11" s="18">
        <f t="shared" si="2"/>
        <v>224.3</v>
      </c>
    </row>
    <row r="12" spans="2:13" x14ac:dyDescent="0.35">
      <c r="B12" s="1">
        <v>46179</v>
      </c>
      <c r="C12" s="4">
        <v>150.19999999999999</v>
      </c>
      <c r="D12" s="4">
        <v>160.4</v>
      </c>
      <c r="E12" s="4">
        <f t="shared" si="3"/>
        <v>4766.7700000000004</v>
      </c>
      <c r="F12" s="4">
        <f t="shared" si="0"/>
        <v>4166.7700000000004</v>
      </c>
      <c r="G12" s="4">
        <v>0</v>
      </c>
      <c r="H12" s="18">
        <v>160.4</v>
      </c>
      <c r="I12" s="18">
        <v>0</v>
      </c>
      <c r="J12" s="13">
        <f t="shared" si="1"/>
        <v>0</v>
      </c>
      <c r="K12" s="18">
        <f t="shared" si="2"/>
        <v>160.4</v>
      </c>
    </row>
    <row r="13" spans="2:13" x14ac:dyDescent="0.35">
      <c r="B13" s="1">
        <v>46180</v>
      </c>
      <c r="C13" s="4">
        <v>150.19999999999999</v>
      </c>
      <c r="D13" s="4">
        <v>349.4</v>
      </c>
      <c r="E13" s="4">
        <f t="shared" si="3"/>
        <v>5116.17</v>
      </c>
      <c r="F13" s="4">
        <f t="shared" si="0"/>
        <v>4516.17</v>
      </c>
      <c r="G13" s="4">
        <v>0</v>
      </c>
      <c r="H13" s="18">
        <v>349.4</v>
      </c>
      <c r="I13" s="18">
        <v>0</v>
      </c>
      <c r="J13" s="13">
        <f t="shared" si="1"/>
        <v>0</v>
      </c>
      <c r="K13" s="18">
        <f t="shared" si="2"/>
        <v>349.4</v>
      </c>
    </row>
    <row r="14" spans="2:13" x14ac:dyDescent="0.35">
      <c r="B14" s="1">
        <v>46181</v>
      </c>
      <c r="C14" s="4">
        <v>150.19999999999999</v>
      </c>
      <c r="D14" s="4">
        <v>178.3</v>
      </c>
      <c r="E14" s="4">
        <f t="shared" si="3"/>
        <v>5294.47</v>
      </c>
      <c r="F14" s="4">
        <f t="shared" si="0"/>
        <v>4694.47</v>
      </c>
      <c r="G14" s="4">
        <v>0</v>
      </c>
      <c r="H14" s="18">
        <v>178.3</v>
      </c>
      <c r="I14" s="18">
        <v>0</v>
      </c>
      <c r="J14" s="13">
        <f t="shared" si="1"/>
        <v>0</v>
      </c>
      <c r="K14" s="18">
        <f t="shared" si="2"/>
        <v>178.3</v>
      </c>
    </row>
    <row r="15" spans="2:13" x14ac:dyDescent="0.35">
      <c r="B15" s="1">
        <v>46182</v>
      </c>
      <c r="C15" s="4">
        <v>150.19999999999999</v>
      </c>
      <c r="D15" s="4">
        <v>129.9</v>
      </c>
      <c r="E15" s="4">
        <f t="shared" si="3"/>
        <v>5424.37</v>
      </c>
      <c r="F15" s="4">
        <f t="shared" si="0"/>
        <v>4824.37</v>
      </c>
      <c r="G15" s="4">
        <v>0</v>
      </c>
      <c r="H15" s="18">
        <v>129.9</v>
      </c>
      <c r="I15" s="18">
        <v>0</v>
      </c>
      <c r="J15" s="13">
        <f t="shared" si="1"/>
        <v>0</v>
      </c>
      <c r="K15" s="18">
        <f t="shared" si="2"/>
        <v>129.9</v>
      </c>
    </row>
    <row r="16" spans="2:13" x14ac:dyDescent="0.35">
      <c r="B16" s="1">
        <v>46183</v>
      </c>
      <c r="C16" s="4">
        <v>150.19999999999999</v>
      </c>
      <c r="D16" s="4">
        <v>151.30000000000001</v>
      </c>
      <c r="E16" s="4">
        <f t="shared" si="3"/>
        <v>5575.67</v>
      </c>
      <c r="F16" s="4">
        <f t="shared" si="0"/>
        <v>4975.67</v>
      </c>
      <c r="G16" s="4">
        <v>0</v>
      </c>
      <c r="H16" s="18">
        <v>151.30000000000001</v>
      </c>
      <c r="I16" s="18">
        <v>0</v>
      </c>
      <c r="J16" s="13">
        <f t="shared" si="1"/>
        <v>0</v>
      </c>
      <c r="K16" s="18">
        <f t="shared" si="2"/>
        <v>151.30000000000001</v>
      </c>
    </row>
    <row r="17" spans="2:13" x14ac:dyDescent="0.35">
      <c r="B17" s="1">
        <v>46184</v>
      </c>
      <c r="C17" s="4">
        <v>150.19999999999999</v>
      </c>
      <c r="D17" s="4">
        <v>165.55</v>
      </c>
      <c r="E17" s="4">
        <f t="shared" si="3"/>
        <v>5741.22</v>
      </c>
      <c r="F17" s="4">
        <f t="shared" si="0"/>
        <v>5141.22</v>
      </c>
      <c r="G17" s="4">
        <v>0</v>
      </c>
      <c r="H17" s="18">
        <v>165.55</v>
      </c>
      <c r="I17" s="18">
        <v>0</v>
      </c>
      <c r="J17" s="13">
        <f t="shared" si="1"/>
        <v>0</v>
      </c>
      <c r="K17" s="18">
        <f t="shared" si="2"/>
        <v>165.55</v>
      </c>
    </row>
    <row r="18" spans="2:13" x14ac:dyDescent="0.35">
      <c r="B18" s="1">
        <v>46185</v>
      </c>
      <c r="C18" s="4">
        <v>150.19999999999999</v>
      </c>
      <c r="D18" s="4">
        <v>203.9</v>
      </c>
      <c r="E18" s="4">
        <f t="shared" si="3"/>
        <v>5945.12</v>
      </c>
      <c r="F18" s="4">
        <f t="shared" si="0"/>
        <v>5345.12</v>
      </c>
      <c r="G18" s="4">
        <v>0</v>
      </c>
      <c r="H18" s="32">
        <v>203.9</v>
      </c>
      <c r="I18" s="18">
        <v>0</v>
      </c>
      <c r="J18" s="13">
        <f t="shared" si="1"/>
        <v>0</v>
      </c>
      <c r="K18" s="18">
        <f t="shared" si="2"/>
        <v>203.9</v>
      </c>
    </row>
    <row r="19" spans="2:13" x14ac:dyDescent="0.35">
      <c r="B19" s="1">
        <v>46186</v>
      </c>
      <c r="C19" s="4">
        <v>150.19999999999999</v>
      </c>
      <c r="D19" s="4">
        <v>294.89999999999998</v>
      </c>
      <c r="E19" s="4">
        <f t="shared" si="3"/>
        <v>6240.0199999999995</v>
      </c>
      <c r="F19" s="4">
        <f t="shared" si="0"/>
        <v>5640.0199999999995</v>
      </c>
      <c r="G19" s="4">
        <v>0</v>
      </c>
      <c r="H19" s="18">
        <v>294.89999999999998</v>
      </c>
      <c r="I19" s="18">
        <v>0</v>
      </c>
      <c r="J19" s="13">
        <f t="shared" si="1"/>
        <v>0</v>
      </c>
      <c r="K19" s="18">
        <f t="shared" si="2"/>
        <v>294.89999999999998</v>
      </c>
    </row>
    <row r="20" spans="2:13" x14ac:dyDescent="0.35">
      <c r="B20" s="1">
        <v>46187</v>
      </c>
      <c r="C20" s="4">
        <v>150.19999999999999</v>
      </c>
      <c r="D20" s="4">
        <v>139.15</v>
      </c>
      <c r="E20" s="4">
        <f t="shared" si="3"/>
        <v>6379.1699999999992</v>
      </c>
      <c r="F20" s="4">
        <f t="shared" si="0"/>
        <v>5779.1699999999992</v>
      </c>
      <c r="G20" s="4">
        <v>0</v>
      </c>
      <c r="H20" s="18">
        <v>115.6</v>
      </c>
      <c r="I20" s="18">
        <v>0</v>
      </c>
      <c r="J20" s="13">
        <f t="shared" si="1"/>
        <v>23.550000000000011</v>
      </c>
      <c r="K20" s="18">
        <f t="shared" si="2"/>
        <v>115.6</v>
      </c>
      <c r="L20" s="30" t="s">
        <v>23</v>
      </c>
      <c r="M20" s="30" t="s">
        <v>57</v>
      </c>
    </row>
    <row r="21" spans="2:13" x14ac:dyDescent="0.35">
      <c r="B21" s="1">
        <v>46188</v>
      </c>
      <c r="C21" s="4">
        <v>150.19999999999999</v>
      </c>
      <c r="D21" s="4">
        <v>189.6</v>
      </c>
      <c r="E21" s="4">
        <f t="shared" si="3"/>
        <v>6568.7699999999995</v>
      </c>
      <c r="F21" s="4">
        <f t="shared" si="0"/>
        <v>5950.7099999999991</v>
      </c>
      <c r="G21" s="52">
        <v>6560</v>
      </c>
      <c r="H21" s="18">
        <v>189.6</v>
      </c>
      <c r="I21" s="18">
        <v>18.059999999999999</v>
      </c>
      <c r="J21" s="13">
        <f t="shared" si="1"/>
        <v>0</v>
      </c>
      <c r="K21" s="18">
        <f t="shared" si="2"/>
        <v>171.54</v>
      </c>
      <c r="L21" s="30" t="s">
        <v>35</v>
      </c>
      <c r="M21" s="30" t="s">
        <v>55</v>
      </c>
    </row>
    <row r="22" spans="2:13" x14ac:dyDescent="0.35">
      <c r="B22" s="1">
        <v>46189</v>
      </c>
      <c r="C22" s="4">
        <v>150.19999999999999</v>
      </c>
      <c r="D22" s="4">
        <v>305.10000000000002</v>
      </c>
      <c r="E22" s="4">
        <f t="shared" si="3"/>
        <v>313.86999999999989</v>
      </c>
      <c r="F22" s="4">
        <f t="shared" si="0"/>
        <v>-286.13000000000011</v>
      </c>
      <c r="G22" s="4">
        <v>0</v>
      </c>
      <c r="H22" s="18">
        <v>305.10000000000002</v>
      </c>
      <c r="I22" s="18">
        <v>0</v>
      </c>
      <c r="J22" s="13">
        <f t="shared" si="1"/>
        <v>0</v>
      </c>
      <c r="K22" s="18">
        <f t="shared" si="2"/>
        <v>305.10000000000002</v>
      </c>
    </row>
    <row r="23" spans="2:13" x14ac:dyDescent="0.35">
      <c r="B23" s="1">
        <v>46190</v>
      </c>
      <c r="C23" s="4">
        <v>150.19999999999999</v>
      </c>
      <c r="D23" s="4">
        <v>211.15</v>
      </c>
      <c r="E23" s="4">
        <f t="shared" si="3"/>
        <v>525.01999999999987</v>
      </c>
      <c r="F23" s="4">
        <f t="shared" si="0"/>
        <v>-74.980000000000132</v>
      </c>
      <c r="G23" s="4">
        <v>0</v>
      </c>
      <c r="H23" s="18">
        <v>211.15</v>
      </c>
      <c r="I23" s="18">
        <v>0</v>
      </c>
      <c r="J23" s="13">
        <f t="shared" si="1"/>
        <v>0</v>
      </c>
      <c r="K23" s="18">
        <f t="shared" si="2"/>
        <v>211.15</v>
      </c>
    </row>
    <row r="24" spans="2:13" x14ac:dyDescent="0.35">
      <c r="B24" s="1">
        <v>46191</v>
      </c>
      <c r="C24" s="4">
        <v>150.19999999999999</v>
      </c>
      <c r="D24" s="4">
        <v>280.3</v>
      </c>
      <c r="E24" s="4">
        <f t="shared" si="3"/>
        <v>805.31999999999994</v>
      </c>
      <c r="F24" s="4">
        <f t="shared" si="0"/>
        <v>205.31999999999994</v>
      </c>
      <c r="G24" s="4">
        <v>0</v>
      </c>
      <c r="H24" s="18">
        <v>280.3</v>
      </c>
      <c r="I24" s="18">
        <v>0</v>
      </c>
      <c r="J24" s="13">
        <f t="shared" si="1"/>
        <v>0</v>
      </c>
      <c r="K24" s="18">
        <f t="shared" si="2"/>
        <v>280.3</v>
      </c>
    </row>
    <row r="25" spans="2:13" x14ac:dyDescent="0.35">
      <c r="B25" s="1">
        <v>46192</v>
      </c>
      <c r="C25" s="4">
        <v>150.19999999999999</v>
      </c>
      <c r="D25" s="4">
        <v>193.8</v>
      </c>
      <c r="E25" s="4">
        <f t="shared" si="3"/>
        <v>999.11999999999989</v>
      </c>
      <c r="F25" s="4">
        <f t="shared" si="0"/>
        <v>399.11999999999989</v>
      </c>
      <c r="G25" s="4">
        <v>0</v>
      </c>
      <c r="H25" s="18">
        <v>193.8</v>
      </c>
      <c r="I25" s="18">
        <v>0</v>
      </c>
      <c r="J25" s="13">
        <f t="shared" si="1"/>
        <v>0</v>
      </c>
      <c r="K25" s="18">
        <f t="shared" si="2"/>
        <v>193.8</v>
      </c>
    </row>
    <row r="26" spans="2:13" x14ac:dyDescent="0.35">
      <c r="B26" s="1">
        <v>46193</v>
      </c>
      <c r="C26" s="4">
        <v>150.19999999999999</v>
      </c>
      <c r="D26" s="4">
        <v>126.5</v>
      </c>
      <c r="E26" s="4">
        <f t="shared" si="3"/>
        <v>1125.6199999999999</v>
      </c>
      <c r="F26" s="4">
        <f t="shared" si="0"/>
        <v>525.61999999999989</v>
      </c>
      <c r="G26" s="4">
        <v>0</v>
      </c>
      <c r="H26" s="18">
        <v>126.5</v>
      </c>
      <c r="I26" s="18">
        <v>0</v>
      </c>
      <c r="J26" s="13">
        <f t="shared" si="1"/>
        <v>0</v>
      </c>
      <c r="K26" s="18">
        <f t="shared" si="2"/>
        <v>126.5</v>
      </c>
    </row>
    <row r="27" spans="2:13" x14ac:dyDescent="0.35">
      <c r="B27" s="1">
        <v>46194</v>
      </c>
      <c r="C27" s="4">
        <v>150.19999999999999</v>
      </c>
      <c r="D27" s="4">
        <v>261.5</v>
      </c>
      <c r="E27" s="4">
        <f t="shared" si="3"/>
        <v>1387.12</v>
      </c>
      <c r="F27" s="4">
        <f t="shared" si="0"/>
        <v>787.11999999999989</v>
      </c>
      <c r="G27" s="4">
        <v>0</v>
      </c>
      <c r="H27" s="18">
        <v>261.5</v>
      </c>
      <c r="I27" s="18">
        <v>0</v>
      </c>
      <c r="J27" s="13">
        <f t="shared" si="1"/>
        <v>0</v>
      </c>
      <c r="K27" s="18">
        <f t="shared" si="2"/>
        <v>261.5</v>
      </c>
    </row>
    <row r="28" spans="2:13" x14ac:dyDescent="0.35">
      <c r="B28" s="1">
        <v>46195</v>
      </c>
      <c r="C28" s="4">
        <v>150.19999999999999</v>
      </c>
      <c r="D28" s="4">
        <v>126.7</v>
      </c>
      <c r="E28" s="4">
        <f t="shared" si="3"/>
        <v>1513.82</v>
      </c>
      <c r="F28" s="4">
        <f t="shared" si="0"/>
        <v>913.81999999999994</v>
      </c>
      <c r="G28" s="4">
        <v>1020</v>
      </c>
      <c r="H28" s="18">
        <v>126.7</v>
      </c>
      <c r="I28" s="18">
        <v>0</v>
      </c>
      <c r="J28" s="13">
        <f t="shared" si="1"/>
        <v>0</v>
      </c>
      <c r="K28" s="18">
        <f t="shared" si="2"/>
        <v>126.7</v>
      </c>
    </row>
    <row r="29" spans="2:13" x14ac:dyDescent="0.35">
      <c r="B29" s="1">
        <v>46196</v>
      </c>
      <c r="C29" s="4">
        <v>150.19999999999999</v>
      </c>
      <c r="D29" s="4">
        <v>182.35</v>
      </c>
      <c r="E29" s="4">
        <f t="shared" si="3"/>
        <v>676.16999999999985</v>
      </c>
      <c r="F29" s="4">
        <f t="shared" si="0"/>
        <v>76.169999999999845</v>
      </c>
      <c r="G29" s="4">
        <v>0</v>
      </c>
      <c r="H29" s="18">
        <v>182.35</v>
      </c>
      <c r="I29" s="18">
        <v>0</v>
      </c>
      <c r="J29" s="13">
        <f t="shared" si="1"/>
        <v>0</v>
      </c>
      <c r="K29" s="18">
        <f t="shared" si="2"/>
        <v>182.35</v>
      </c>
    </row>
    <row r="30" spans="2:13" x14ac:dyDescent="0.35">
      <c r="B30" s="1">
        <v>46197</v>
      </c>
      <c r="C30" s="4">
        <v>150.19999999999999</v>
      </c>
      <c r="D30" s="4">
        <v>148.5</v>
      </c>
      <c r="E30" s="4">
        <f t="shared" si="3"/>
        <v>824.66999999999985</v>
      </c>
      <c r="F30" s="4">
        <f t="shared" si="0"/>
        <v>224.66999999999985</v>
      </c>
      <c r="G30" s="4">
        <v>0</v>
      </c>
      <c r="H30" s="18">
        <v>148.5</v>
      </c>
      <c r="I30" s="18">
        <v>0</v>
      </c>
      <c r="J30" s="13">
        <f t="shared" si="1"/>
        <v>0</v>
      </c>
      <c r="K30" s="18">
        <f t="shared" si="2"/>
        <v>148.5</v>
      </c>
    </row>
    <row r="31" spans="2:13" x14ac:dyDescent="0.35">
      <c r="B31" s="1">
        <v>46198</v>
      </c>
      <c r="C31" s="4">
        <v>150.19999999999999</v>
      </c>
      <c r="D31" s="4">
        <v>127.2</v>
      </c>
      <c r="E31" s="4">
        <f t="shared" si="3"/>
        <v>951.86999999999989</v>
      </c>
      <c r="F31" s="4">
        <f t="shared" si="0"/>
        <v>351.86999999999989</v>
      </c>
      <c r="G31" s="4">
        <v>0</v>
      </c>
      <c r="H31" s="18">
        <v>127.2</v>
      </c>
      <c r="I31" s="18">
        <v>0</v>
      </c>
      <c r="J31" s="13">
        <f t="shared" si="1"/>
        <v>0</v>
      </c>
      <c r="K31" s="18">
        <f t="shared" si="2"/>
        <v>127.2</v>
      </c>
    </row>
    <row r="32" spans="2:13" x14ac:dyDescent="0.35">
      <c r="B32" s="1">
        <v>46199</v>
      </c>
      <c r="C32" s="4">
        <v>150.19999999999999</v>
      </c>
      <c r="D32" s="4">
        <v>111</v>
      </c>
      <c r="E32" s="4">
        <f t="shared" si="3"/>
        <v>1062.8699999999999</v>
      </c>
      <c r="F32" s="4">
        <f t="shared" si="0"/>
        <v>462.86999999999989</v>
      </c>
      <c r="G32" s="4">
        <v>0</v>
      </c>
      <c r="H32" s="18">
        <v>0</v>
      </c>
      <c r="I32" s="18">
        <v>0</v>
      </c>
      <c r="J32" s="13">
        <f t="shared" si="1"/>
        <v>111</v>
      </c>
      <c r="K32" s="18">
        <f t="shared" si="2"/>
        <v>0</v>
      </c>
    </row>
    <row r="33" spans="2:11" x14ac:dyDescent="0.35">
      <c r="B33" s="1">
        <v>46200</v>
      </c>
      <c r="C33" s="4">
        <v>150.19999999999999</v>
      </c>
      <c r="D33" s="4">
        <v>0</v>
      </c>
      <c r="E33" s="4">
        <f t="shared" si="3"/>
        <v>1062.8699999999999</v>
      </c>
      <c r="F33" s="4">
        <f t="shared" si="0"/>
        <v>462.86999999999989</v>
      </c>
      <c r="G33" s="4">
        <v>0</v>
      </c>
      <c r="H33" s="18">
        <v>0</v>
      </c>
      <c r="I33" s="18">
        <v>0</v>
      </c>
      <c r="J33" s="13">
        <f t="shared" si="1"/>
        <v>0</v>
      </c>
      <c r="K33" s="18">
        <f t="shared" si="2"/>
        <v>0</v>
      </c>
    </row>
    <row r="34" spans="2:11" x14ac:dyDescent="0.35">
      <c r="B34" s="1">
        <v>46201</v>
      </c>
      <c r="C34" s="4">
        <v>150.19999999999999</v>
      </c>
      <c r="D34" s="4">
        <v>0</v>
      </c>
      <c r="E34" s="4">
        <f t="shared" si="3"/>
        <v>1062.8699999999999</v>
      </c>
      <c r="F34" s="4">
        <f t="shared" si="0"/>
        <v>462.86999999999989</v>
      </c>
      <c r="G34" s="4">
        <v>0</v>
      </c>
      <c r="H34" s="18">
        <v>0</v>
      </c>
      <c r="I34" s="18">
        <v>0</v>
      </c>
      <c r="J34" s="13">
        <f t="shared" si="1"/>
        <v>0</v>
      </c>
      <c r="K34" s="18">
        <f t="shared" si="2"/>
        <v>0</v>
      </c>
    </row>
    <row r="35" spans="2:11" x14ac:dyDescent="0.35">
      <c r="B35" s="1">
        <v>46202</v>
      </c>
      <c r="C35" s="4">
        <v>150.19999999999999</v>
      </c>
      <c r="D35" s="4">
        <v>0</v>
      </c>
      <c r="E35" s="4">
        <f t="shared" si="3"/>
        <v>1062.8699999999999</v>
      </c>
      <c r="F35" s="4">
        <f t="shared" si="0"/>
        <v>462.86999999999989</v>
      </c>
      <c r="G35" s="4">
        <v>0</v>
      </c>
      <c r="H35" s="18">
        <v>0</v>
      </c>
      <c r="I35" s="18">
        <v>0</v>
      </c>
      <c r="J35" s="13">
        <f t="shared" si="1"/>
        <v>0</v>
      </c>
      <c r="K35" s="18">
        <f t="shared" si="2"/>
        <v>0</v>
      </c>
    </row>
    <row r="36" spans="2:11" x14ac:dyDescent="0.35">
      <c r="B36" s="1">
        <v>46203</v>
      </c>
      <c r="C36" s="4">
        <v>150.19999999999999</v>
      </c>
      <c r="D36" s="4">
        <v>0</v>
      </c>
      <c r="E36" s="4">
        <f t="shared" si="3"/>
        <v>1062.8699999999999</v>
      </c>
      <c r="F36" s="4">
        <f t="shared" si="0"/>
        <v>462.86999999999989</v>
      </c>
      <c r="G36" s="4">
        <v>0</v>
      </c>
      <c r="H36" s="18">
        <v>0</v>
      </c>
      <c r="I36" s="18">
        <v>0</v>
      </c>
      <c r="J36" s="13">
        <f t="shared" si="1"/>
        <v>0</v>
      </c>
      <c r="K36" s="18">
        <f t="shared" si="2"/>
        <v>0</v>
      </c>
    </row>
  </sheetData>
  <mergeCells count="1">
    <mergeCell ref="C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81AA-9C83-4D5C-A79D-E45EC8985B69}">
  <sheetPr>
    <tabColor theme="9"/>
  </sheetPr>
  <dimension ref="B1:M36"/>
  <sheetViews>
    <sheetView topLeftCell="A3" workbookViewId="0">
      <selection activeCell="I35" sqref="I35"/>
    </sheetView>
  </sheetViews>
  <sheetFormatPr defaultColWidth="10.90625" defaultRowHeight="14.5" outlineLevelRow="1" x14ac:dyDescent="0.35"/>
  <cols>
    <col min="1" max="1" width="3.26953125" customWidth="1"/>
    <col min="2" max="2" width="12.1796875" customWidth="1"/>
    <col min="3" max="3" width="9" bestFit="1" customWidth="1"/>
    <col min="4" max="4" width="9" customWidth="1"/>
    <col min="5" max="5" width="11.26953125" customWidth="1"/>
    <col min="6" max="6" width="9.54296875" bestFit="1" customWidth="1"/>
    <col min="7" max="7" width="9" customWidth="1"/>
    <col min="8" max="8" width="14.08984375" customWidth="1"/>
    <col min="9" max="9" width="15.90625" customWidth="1"/>
    <col min="10" max="10" width="16.08984375" style="27" customWidth="1"/>
    <col min="11" max="11" width="15.26953125" customWidth="1"/>
    <col min="12" max="12" width="22.81640625" style="30" customWidth="1"/>
    <col min="13" max="13" width="53.90625" style="30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433</v>
      </c>
      <c r="J2" s="27"/>
      <c r="L2" s="31"/>
      <c r="M2" s="31"/>
    </row>
    <row r="3" spans="2:13" collapsed="1" x14ac:dyDescent="0.35"/>
    <row r="4" spans="2:13" s="2" customFormat="1" ht="25" customHeight="1" x14ac:dyDescent="0.35">
      <c r="C4" s="57" t="s">
        <v>9</v>
      </c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  <c r="M5" s="3" t="s">
        <v>41</v>
      </c>
    </row>
    <row r="6" spans="2:13" x14ac:dyDescent="0.35">
      <c r="B6" s="1">
        <v>46173</v>
      </c>
      <c r="C6" s="4">
        <v>150</v>
      </c>
      <c r="D6" s="4">
        <v>26.7</v>
      </c>
      <c r="E6" s="4">
        <f>433+346.18</f>
        <v>779.18000000000006</v>
      </c>
      <c r="F6" s="4">
        <f t="shared" ref="F6:F36" si="0">+E6-$E$2-I6</f>
        <v>346.18000000000006</v>
      </c>
      <c r="G6" s="24">
        <v>335</v>
      </c>
      <c r="H6" s="18">
        <v>26.68</v>
      </c>
      <c r="I6" s="18">
        <v>0</v>
      </c>
      <c r="J6" s="13">
        <f>D6-H6</f>
        <v>1.9999999999999574E-2</v>
      </c>
      <c r="K6" s="29">
        <f>H6-I6</f>
        <v>26.68</v>
      </c>
      <c r="L6" s="3"/>
    </row>
    <row r="7" spans="2:13" x14ac:dyDescent="0.35">
      <c r="B7" s="1">
        <v>46174</v>
      </c>
      <c r="C7" s="4">
        <v>150</v>
      </c>
      <c r="D7" s="4">
        <v>96.9</v>
      </c>
      <c r="E7" s="4">
        <f t="shared" ref="E7:E36" si="1">+E6+D7-G6</f>
        <v>541.08000000000004</v>
      </c>
      <c r="F7" s="4">
        <f t="shared" si="0"/>
        <v>108.08000000000004</v>
      </c>
      <c r="G7" s="4">
        <v>0</v>
      </c>
      <c r="H7" s="18">
        <v>91.51</v>
      </c>
      <c r="I7" s="18">
        <v>0</v>
      </c>
      <c r="J7" s="13">
        <f t="shared" ref="J7:J36" si="2">D7-H7</f>
        <v>5.3900000000000006</v>
      </c>
      <c r="K7" s="29">
        <f t="shared" ref="K7:K36" si="3">H7-I7</f>
        <v>91.51</v>
      </c>
      <c r="L7" s="30" t="s">
        <v>23</v>
      </c>
      <c r="M7" s="30" t="s">
        <v>43</v>
      </c>
    </row>
    <row r="8" spans="2:13" x14ac:dyDescent="0.35">
      <c r="B8" s="1">
        <v>46175</v>
      </c>
      <c r="C8" s="4">
        <v>150</v>
      </c>
      <c r="D8" s="4">
        <v>94.5</v>
      </c>
      <c r="E8" s="4">
        <f t="shared" si="1"/>
        <v>635.58000000000004</v>
      </c>
      <c r="F8" s="4">
        <f t="shared" si="0"/>
        <v>202.58000000000004</v>
      </c>
      <c r="G8" s="24">
        <v>90</v>
      </c>
      <c r="H8" s="18">
        <v>94.1</v>
      </c>
      <c r="I8" s="18">
        <v>0</v>
      </c>
      <c r="J8" s="13">
        <f t="shared" si="2"/>
        <v>0.40000000000000568</v>
      </c>
      <c r="K8" s="29">
        <f t="shared" si="3"/>
        <v>94.1</v>
      </c>
      <c r="L8" s="3"/>
    </row>
    <row r="9" spans="2:13" x14ac:dyDescent="0.35">
      <c r="B9" s="1">
        <v>46176</v>
      </c>
      <c r="C9" s="4">
        <v>150</v>
      </c>
      <c r="D9" s="4">
        <v>93.65</v>
      </c>
      <c r="E9" s="4">
        <f t="shared" si="1"/>
        <v>639.23</v>
      </c>
      <c r="F9" s="4">
        <f t="shared" si="0"/>
        <v>206.23000000000002</v>
      </c>
      <c r="G9" s="4">
        <v>0</v>
      </c>
      <c r="H9" s="18">
        <v>93.65</v>
      </c>
      <c r="I9" s="18">
        <v>0</v>
      </c>
      <c r="J9" s="13">
        <f t="shared" si="2"/>
        <v>0</v>
      </c>
      <c r="K9" s="29">
        <f t="shared" si="3"/>
        <v>93.65</v>
      </c>
      <c r="L9" s="3"/>
    </row>
    <row r="10" spans="2:13" x14ac:dyDescent="0.35">
      <c r="B10" s="1">
        <v>46177</v>
      </c>
      <c r="C10" s="4">
        <v>150</v>
      </c>
      <c r="D10" s="4">
        <v>60.7</v>
      </c>
      <c r="E10" s="4">
        <f t="shared" si="1"/>
        <v>699.93000000000006</v>
      </c>
      <c r="F10" s="4">
        <f t="shared" si="0"/>
        <v>266.93000000000006</v>
      </c>
      <c r="G10" s="4">
        <v>0</v>
      </c>
      <c r="H10" s="18">
        <v>60.7</v>
      </c>
      <c r="I10" s="18">
        <v>0</v>
      </c>
      <c r="J10" s="13">
        <f t="shared" si="2"/>
        <v>0</v>
      </c>
      <c r="K10" s="29">
        <f t="shared" si="3"/>
        <v>60.7</v>
      </c>
      <c r="L10" s="3"/>
    </row>
    <row r="11" spans="2:13" x14ac:dyDescent="0.35">
      <c r="B11" s="1">
        <v>46178</v>
      </c>
      <c r="C11" s="4">
        <v>150</v>
      </c>
      <c r="D11" s="4">
        <v>14.4</v>
      </c>
      <c r="E11" s="4">
        <f t="shared" si="1"/>
        <v>714.33</v>
      </c>
      <c r="F11" s="4">
        <f t="shared" si="0"/>
        <v>281.33000000000004</v>
      </c>
      <c r="G11" s="24">
        <v>240</v>
      </c>
      <c r="H11" s="18">
        <v>14.4</v>
      </c>
      <c r="I11" s="18">
        <v>0</v>
      </c>
      <c r="J11" s="13">
        <f t="shared" si="2"/>
        <v>0</v>
      </c>
      <c r="K11" s="29">
        <f t="shared" si="3"/>
        <v>14.4</v>
      </c>
    </row>
    <row r="12" spans="2:13" x14ac:dyDescent="0.35">
      <c r="B12" s="1">
        <v>46179</v>
      </c>
      <c r="C12" s="4">
        <v>150</v>
      </c>
      <c r="D12" s="4">
        <v>76.900000000000006</v>
      </c>
      <c r="E12" s="4">
        <f t="shared" si="1"/>
        <v>551.23</v>
      </c>
      <c r="F12" s="4">
        <f t="shared" si="0"/>
        <v>44.230000000000018</v>
      </c>
      <c r="G12" s="4">
        <v>0</v>
      </c>
      <c r="H12" s="18">
        <v>76.900000000000006</v>
      </c>
      <c r="I12" s="18">
        <v>74</v>
      </c>
      <c r="J12" s="13">
        <f t="shared" si="2"/>
        <v>0</v>
      </c>
      <c r="K12" s="29">
        <f t="shared" si="3"/>
        <v>2.9000000000000057</v>
      </c>
      <c r="L12" s="30" t="s">
        <v>27</v>
      </c>
      <c r="M12" s="30" t="s">
        <v>42</v>
      </c>
    </row>
    <row r="13" spans="2:13" x14ac:dyDescent="0.35">
      <c r="B13" s="1">
        <v>46180</v>
      </c>
      <c r="C13" s="4">
        <v>150</v>
      </c>
      <c r="D13" s="4">
        <v>58.37</v>
      </c>
      <c r="E13" s="4">
        <f t="shared" si="1"/>
        <v>609.6</v>
      </c>
      <c r="F13" s="4">
        <f t="shared" si="0"/>
        <v>176.60000000000002</v>
      </c>
      <c r="G13" s="4">
        <v>0</v>
      </c>
      <c r="H13" s="18">
        <v>58.37</v>
      </c>
      <c r="I13" s="18">
        <v>0</v>
      </c>
      <c r="J13" s="13">
        <f t="shared" si="2"/>
        <v>0</v>
      </c>
      <c r="K13" s="29">
        <f t="shared" si="3"/>
        <v>58.37</v>
      </c>
    </row>
    <row r="14" spans="2:13" x14ac:dyDescent="0.35">
      <c r="B14" s="1">
        <v>46181</v>
      </c>
      <c r="C14" s="4">
        <v>150</v>
      </c>
      <c r="D14" s="4">
        <v>93.4</v>
      </c>
      <c r="E14" s="4">
        <f t="shared" si="1"/>
        <v>703</v>
      </c>
      <c r="F14" s="4">
        <f t="shared" si="0"/>
        <v>270</v>
      </c>
      <c r="G14" s="4">
        <v>0</v>
      </c>
      <c r="H14" s="18">
        <v>93.4</v>
      </c>
      <c r="I14" s="18">
        <v>0</v>
      </c>
      <c r="J14" s="13">
        <f t="shared" si="2"/>
        <v>0</v>
      </c>
      <c r="K14" s="29">
        <f t="shared" si="3"/>
        <v>93.4</v>
      </c>
    </row>
    <row r="15" spans="2:13" x14ac:dyDescent="0.35">
      <c r="B15" s="1">
        <v>46182</v>
      </c>
      <c r="C15" s="4">
        <v>150</v>
      </c>
      <c r="D15" s="4">
        <v>57.9</v>
      </c>
      <c r="E15" s="4">
        <f t="shared" si="1"/>
        <v>760.9</v>
      </c>
      <c r="F15" s="4">
        <f t="shared" si="0"/>
        <v>327.9</v>
      </c>
      <c r="G15" s="24">
        <v>150</v>
      </c>
      <c r="H15" s="18">
        <v>57.9</v>
      </c>
      <c r="I15" s="18">
        <v>0</v>
      </c>
      <c r="J15" s="13">
        <f t="shared" si="2"/>
        <v>0</v>
      </c>
      <c r="K15" s="29">
        <f t="shared" si="3"/>
        <v>57.9</v>
      </c>
    </row>
    <row r="16" spans="2:13" x14ac:dyDescent="0.35">
      <c r="B16" s="1">
        <v>46183</v>
      </c>
      <c r="C16" s="4">
        <v>150</v>
      </c>
      <c r="D16" s="4">
        <v>59.3</v>
      </c>
      <c r="E16" s="4">
        <f t="shared" si="1"/>
        <v>670.19999999999993</v>
      </c>
      <c r="F16" s="4">
        <f t="shared" si="0"/>
        <v>237.19999999999993</v>
      </c>
      <c r="G16" s="4">
        <v>0</v>
      </c>
      <c r="H16" s="18">
        <v>59.3</v>
      </c>
      <c r="I16" s="18">
        <v>0</v>
      </c>
      <c r="J16" s="13">
        <f t="shared" si="2"/>
        <v>0</v>
      </c>
      <c r="K16" s="29">
        <f t="shared" si="3"/>
        <v>59.3</v>
      </c>
    </row>
    <row r="17" spans="2:11" x14ac:dyDescent="0.35">
      <c r="B17" s="1">
        <v>46184</v>
      </c>
      <c r="C17" s="4">
        <v>150</v>
      </c>
      <c r="D17" s="4">
        <v>52.9</v>
      </c>
      <c r="E17" s="4">
        <f t="shared" si="1"/>
        <v>723.09999999999991</v>
      </c>
      <c r="F17" s="4">
        <f t="shared" si="0"/>
        <v>290.09999999999991</v>
      </c>
      <c r="G17" s="4">
        <v>0</v>
      </c>
      <c r="H17" s="18">
        <v>52.9</v>
      </c>
      <c r="I17" s="18">
        <v>0</v>
      </c>
      <c r="J17" s="13">
        <f t="shared" si="2"/>
        <v>0</v>
      </c>
      <c r="K17" s="29">
        <f t="shared" si="3"/>
        <v>52.9</v>
      </c>
    </row>
    <row r="18" spans="2:11" x14ac:dyDescent="0.35">
      <c r="B18" s="1">
        <v>46185</v>
      </c>
      <c r="C18" s="4">
        <v>150</v>
      </c>
      <c r="D18" s="4">
        <v>103</v>
      </c>
      <c r="E18" s="4">
        <f t="shared" si="1"/>
        <v>826.09999999999991</v>
      </c>
      <c r="F18" s="4">
        <f t="shared" si="0"/>
        <v>393.09999999999991</v>
      </c>
      <c r="G18" s="24">
        <v>165</v>
      </c>
      <c r="H18" s="18">
        <v>103</v>
      </c>
      <c r="I18" s="18">
        <v>0</v>
      </c>
      <c r="J18" s="13">
        <f t="shared" si="2"/>
        <v>0</v>
      </c>
      <c r="K18" s="29">
        <f t="shared" si="3"/>
        <v>103</v>
      </c>
    </row>
    <row r="19" spans="2:11" x14ac:dyDescent="0.35">
      <c r="B19" s="1">
        <v>46186</v>
      </c>
      <c r="C19" s="4">
        <v>150</v>
      </c>
      <c r="D19" s="4">
        <v>103.2</v>
      </c>
      <c r="E19" s="4">
        <f t="shared" si="1"/>
        <v>764.3</v>
      </c>
      <c r="F19" s="4">
        <f t="shared" si="0"/>
        <v>331.29999999999995</v>
      </c>
      <c r="G19" s="4">
        <v>0</v>
      </c>
      <c r="H19" s="18">
        <v>103.2</v>
      </c>
      <c r="I19" s="18">
        <v>0</v>
      </c>
      <c r="J19" s="13">
        <f t="shared" si="2"/>
        <v>0</v>
      </c>
      <c r="K19" s="29">
        <f t="shared" si="3"/>
        <v>103.2</v>
      </c>
    </row>
    <row r="20" spans="2:11" x14ac:dyDescent="0.35">
      <c r="B20" s="1">
        <v>46187</v>
      </c>
      <c r="C20" s="4">
        <v>150</v>
      </c>
      <c r="D20" s="4">
        <v>89.5</v>
      </c>
      <c r="E20" s="4">
        <f t="shared" si="1"/>
        <v>853.8</v>
      </c>
      <c r="F20" s="4">
        <f t="shared" si="0"/>
        <v>420.79999999999995</v>
      </c>
      <c r="G20" s="4">
        <v>0</v>
      </c>
      <c r="H20" s="18">
        <v>89.5</v>
      </c>
      <c r="I20" s="18">
        <v>0</v>
      </c>
      <c r="J20" s="13">
        <f t="shared" si="2"/>
        <v>0</v>
      </c>
      <c r="K20" s="29">
        <f t="shared" si="3"/>
        <v>89.5</v>
      </c>
    </row>
    <row r="21" spans="2:11" x14ac:dyDescent="0.35">
      <c r="B21" s="1">
        <v>46188</v>
      </c>
      <c r="C21" s="4">
        <v>150</v>
      </c>
      <c r="D21" s="4">
        <v>78.8</v>
      </c>
      <c r="E21" s="4">
        <f t="shared" si="1"/>
        <v>932.59999999999991</v>
      </c>
      <c r="F21" s="4">
        <f t="shared" si="0"/>
        <v>499.59999999999991</v>
      </c>
      <c r="G21" s="4">
        <v>0</v>
      </c>
      <c r="H21" s="18">
        <v>78.8</v>
      </c>
      <c r="I21" s="18">
        <v>0</v>
      </c>
      <c r="J21" s="13">
        <f t="shared" si="2"/>
        <v>0</v>
      </c>
      <c r="K21" s="29">
        <f t="shared" si="3"/>
        <v>78.8</v>
      </c>
    </row>
    <row r="22" spans="2:11" x14ac:dyDescent="0.35">
      <c r="B22" s="1">
        <v>46189</v>
      </c>
      <c r="C22" s="4">
        <v>150</v>
      </c>
      <c r="D22" s="4">
        <v>91.5</v>
      </c>
      <c r="E22" s="4">
        <f t="shared" si="1"/>
        <v>1024.0999999999999</v>
      </c>
      <c r="F22" s="4">
        <f t="shared" si="0"/>
        <v>591.09999999999991</v>
      </c>
      <c r="G22" s="24">
        <v>370</v>
      </c>
      <c r="H22" s="18">
        <v>91.5</v>
      </c>
      <c r="I22" s="18">
        <v>0</v>
      </c>
      <c r="J22" s="13">
        <f t="shared" si="2"/>
        <v>0</v>
      </c>
      <c r="K22" s="29">
        <f t="shared" si="3"/>
        <v>91.5</v>
      </c>
    </row>
    <row r="23" spans="2:11" x14ac:dyDescent="0.35">
      <c r="B23" s="1">
        <v>46190</v>
      </c>
      <c r="C23" s="4">
        <v>150</v>
      </c>
      <c r="D23" s="4">
        <v>121.8</v>
      </c>
      <c r="E23" s="4">
        <f t="shared" si="1"/>
        <v>775.89999999999986</v>
      </c>
      <c r="F23" s="4">
        <f t="shared" si="0"/>
        <v>342.89999999999986</v>
      </c>
      <c r="G23" s="4">
        <v>0</v>
      </c>
      <c r="H23" s="18">
        <v>121.8</v>
      </c>
      <c r="I23" s="18">
        <v>0</v>
      </c>
      <c r="J23" s="13">
        <f t="shared" si="2"/>
        <v>0</v>
      </c>
      <c r="K23" s="29">
        <f t="shared" si="3"/>
        <v>121.8</v>
      </c>
    </row>
    <row r="24" spans="2:11" x14ac:dyDescent="0.35">
      <c r="B24" s="1">
        <v>46191</v>
      </c>
      <c r="C24" s="4">
        <v>150</v>
      </c>
      <c r="D24" s="4">
        <v>58.89</v>
      </c>
      <c r="E24" s="4">
        <f t="shared" si="1"/>
        <v>834.78999999999985</v>
      </c>
      <c r="F24" s="4">
        <f t="shared" si="0"/>
        <v>401.78999999999985</v>
      </c>
      <c r="G24" s="4">
        <v>0</v>
      </c>
      <c r="H24" s="18">
        <v>58.89</v>
      </c>
      <c r="I24" s="18">
        <v>0</v>
      </c>
      <c r="J24" s="13">
        <f t="shared" si="2"/>
        <v>0</v>
      </c>
      <c r="K24" s="29">
        <f t="shared" si="3"/>
        <v>58.89</v>
      </c>
    </row>
    <row r="25" spans="2:11" x14ac:dyDescent="0.35">
      <c r="B25" s="1">
        <v>46192</v>
      </c>
      <c r="C25" s="4">
        <v>150</v>
      </c>
      <c r="D25" s="4">
        <v>71.400000000000006</v>
      </c>
      <c r="E25" s="4">
        <f t="shared" si="1"/>
        <v>906.18999999999983</v>
      </c>
      <c r="F25" s="4">
        <f t="shared" si="0"/>
        <v>473.18999999999983</v>
      </c>
      <c r="G25" s="24">
        <v>240</v>
      </c>
      <c r="H25" s="18">
        <v>71.400000000000006</v>
      </c>
      <c r="I25" s="18">
        <v>0</v>
      </c>
      <c r="J25" s="13">
        <f t="shared" si="2"/>
        <v>0</v>
      </c>
      <c r="K25" s="29">
        <f t="shared" si="3"/>
        <v>71.400000000000006</v>
      </c>
    </row>
    <row r="26" spans="2:11" x14ac:dyDescent="0.35">
      <c r="B26" s="1">
        <v>46193</v>
      </c>
      <c r="C26" s="4">
        <v>150</v>
      </c>
      <c r="D26" s="4">
        <v>194.1</v>
      </c>
      <c r="E26" s="4">
        <f t="shared" si="1"/>
        <v>860.28999999999974</v>
      </c>
      <c r="F26" s="4">
        <f t="shared" si="0"/>
        <v>427.28999999999974</v>
      </c>
      <c r="G26" s="4">
        <v>0</v>
      </c>
      <c r="H26" s="18">
        <v>194.1</v>
      </c>
      <c r="I26" s="18">
        <v>0</v>
      </c>
      <c r="J26" s="13">
        <f t="shared" si="2"/>
        <v>0</v>
      </c>
      <c r="K26" s="29">
        <f t="shared" si="3"/>
        <v>194.1</v>
      </c>
    </row>
    <row r="27" spans="2:11" x14ac:dyDescent="0.35">
      <c r="B27" s="1">
        <v>46194</v>
      </c>
      <c r="C27" s="4">
        <v>150</v>
      </c>
      <c r="D27" s="4">
        <v>118.3</v>
      </c>
      <c r="E27" s="4">
        <f t="shared" si="1"/>
        <v>978.58999999999969</v>
      </c>
      <c r="F27" s="4">
        <f t="shared" si="0"/>
        <v>545.58999999999969</v>
      </c>
      <c r="G27" s="4">
        <v>0</v>
      </c>
      <c r="H27" s="18">
        <v>118.3</v>
      </c>
      <c r="I27" s="18">
        <v>0</v>
      </c>
      <c r="J27" s="13">
        <f t="shared" si="2"/>
        <v>0</v>
      </c>
      <c r="K27" s="29">
        <f t="shared" si="3"/>
        <v>118.3</v>
      </c>
    </row>
    <row r="28" spans="2:11" x14ac:dyDescent="0.35">
      <c r="B28" s="1">
        <v>46195</v>
      </c>
      <c r="C28" s="4">
        <v>150</v>
      </c>
      <c r="D28" s="4">
        <v>103.1</v>
      </c>
      <c r="E28" s="4">
        <f t="shared" si="1"/>
        <v>1081.6899999999996</v>
      </c>
      <c r="F28" s="4">
        <f t="shared" si="0"/>
        <v>648.6899999999996</v>
      </c>
      <c r="G28" s="4">
        <v>0</v>
      </c>
      <c r="H28" s="18">
        <v>103.1</v>
      </c>
      <c r="I28" s="18">
        <v>0</v>
      </c>
      <c r="J28" s="13">
        <f t="shared" si="2"/>
        <v>0</v>
      </c>
      <c r="K28" s="29">
        <f t="shared" si="3"/>
        <v>103.1</v>
      </c>
    </row>
    <row r="29" spans="2:11" x14ac:dyDescent="0.35">
      <c r="B29" s="1">
        <v>46196</v>
      </c>
      <c r="C29" s="4">
        <v>150</v>
      </c>
      <c r="D29" s="4">
        <v>131.19999999999999</v>
      </c>
      <c r="E29" s="4">
        <f t="shared" si="1"/>
        <v>1212.8899999999996</v>
      </c>
      <c r="F29" s="4">
        <f t="shared" si="0"/>
        <v>779.88999999999965</v>
      </c>
      <c r="G29" s="24">
        <v>465</v>
      </c>
      <c r="H29" s="18">
        <v>131.19999999999999</v>
      </c>
      <c r="I29" s="18">
        <v>0</v>
      </c>
      <c r="J29" s="13">
        <f t="shared" si="2"/>
        <v>0</v>
      </c>
      <c r="K29" s="29">
        <f t="shared" si="3"/>
        <v>131.19999999999999</v>
      </c>
    </row>
    <row r="30" spans="2:11" x14ac:dyDescent="0.35">
      <c r="B30" s="1">
        <v>46197</v>
      </c>
      <c r="C30" s="4">
        <v>150</v>
      </c>
      <c r="D30" s="4">
        <v>93.5</v>
      </c>
      <c r="E30" s="4">
        <f t="shared" si="1"/>
        <v>841.38999999999965</v>
      </c>
      <c r="F30" s="4">
        <f t="shared" si="0"/>
        <v>408.38999999999965</v>
      </c>
      <c r="G30" s="4">
        <v>0</v>
      </c>
      <c r="H30" s="18">
        <v>93.5</v>
      </c>
      <c r="I30" s="18">
        <v>0</v>
      </c>
      <c r="J30" s="13">
        <f t="shared" si="2"/>
        <v>0</v>
      </c>
      <c r="K30" s="29">
        <f t="shared" si="3"/>
        <v>93.5</v>
      </c>
    </row>
    <row r="31" spans="2:11" x14ac:dyDescent="0.35">
      <c r="B31" s="1">
        <v>46198</v>
      </c>
      <c r="C31" s="4">
        <v>150</v>
      </c>
      <c r="D31" s="4">
        <v>41.5</v>
      </c>
      <c r="E31" s="4">
        <f t="shared" si="1"/>
        <v>882.88999999999965</v>
      </c>
      <c r="F31" s="4">
        <f t="shared" si="0"/>
        <v>449.88999999999965</v>
      </c>
      <c r="G31" s="4">
        <v>0</v>
      </c>
      <c r="H31" s="18">
        <v>41.5</v>
      </c>
      <c r="I31" s="18">
        <v>0</v>
      </c>
      <c r="J31" s="13">
        <f t="shared" si="2"/>
        <v>0</v>
      </c>
      <c r="K31" s="29">
        <f t="shared" si="3"/>
        <v>41.5</v>
      </c>
    </row>
    <row r="32" spans="2:11" x14ac:dyDescent="0.35">
      <c r="B32" s="1">
        <v>46199</v>
      </c>
      <c r="C32" s="4">
        <v>150</v>
      </c>
      <c r="D32" s="4">
        <v>107.31</v>
      </c>
      <c r="E32" s="4">
        <f t="shared" si="1"/>
        <v>990.19999999999959</v>
      </c>
      <c r="F32" s="4">
        <f t="shared" si="0"/>
        <v>557.19999999999959</v>
      </c>
      <c r="G32" s="4">
        <v>185</v>
      </c>
      <c r="H32" s="18">
        <v>107.31</v>
      </c>
      <c r="I32" s="18">
        <v>0</v>
      </c>
      <c r="J32" s="13">
        <f t="shared" si="2"/>
        <v>0</v>
      </c>
      <c r="K32" s="29">
        <f t="shared" si="3"/>
        <v>107.31</v>
      </c>
    </row>
    <row r="33" spans="2:11" x14ac:dyDescent="0.35">
      <c r="B33" s="1">
        <v>46200</v>
      </c>
      <c r="C33" s="4">
        <v>150</v>
      </c>
      <c r="D33" s="4">
        <v>17</v>
      </c>
      <c r="E33" s="4">
        <f t="shared" si="1"/>
        <v>822.19999999999959</v>
      </c>
      <c r="F33" s="4">
        <f t="shared" si="0"/>
        <v>389.19999999999959</v>
      </c>
      <c r="G33" s="4">
        <v>0</v>
      </c>
      <c r="H33" s="18">
        <v>17</v>
      </c>
      <c r="I33" s="18">
        <v>0</v>
      </c>
      <c r="J33" s="13">
        <f t="shared" si="2"/>
        <v>0</v>
      </c>
      <c r="K33" s="29">
        <f t="shared" si="3"/>
        <v>17</v>
      </c>
    </row>
    <row r="34" spans="2:11" x14ac:dyDescent="0.35">
      <c r="B34" s="1">
        <v>46201</v>
      </c>
      <c r="C34" s="4">
        <v>150</v>
      </c>
      <c r="D34" s="4">
        <v>132.4</v>
      </c>
      <c r="E34" s="4">
        <f t="shared" si="1"/>
        <v>954.59999999999957</v>
      </c>
      <c r="F34" s="4">
        <f t="shared" si="0"/>
        <v>521.59999999999957</v>
      </c>
      <c r="G34" s="4">
        <v>0</v>
      </c>
      <c r="H34" s="18">
        <v>132.4</v>
      </c>
      <c r="I34" s="18">
        <v>0</v>
      </c>
      <c r="J34" s="13">
        <f t="shared" si="2"/>
        <v>0</v>
      </c>
      <c r="K34" s="29">
        <f t="shared" si="3"/>
        <v>132.4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1"/>
        <v>954.59999999999957</v>
      </c>
      <c r="F35" s="4">
        <f t="shared" si="0"/>
        <v>521.59999999999957</v>
      </c>
      <c r="G35" s="4">
        <v>0</v>
      </c>
      <c r="H35" s="18">
        <v>0</v>
      </c>
      <c r="I35" s="18">
        <v>0</v>
      </c>
      <c r="J35" s="13">
        <f t="shared" si="2"/>
        <v>0</v>
      </c>
      <c r="K35" s="29">
        <f t="shared" si="3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1"/>
        <v>954.59999999999957</v>
      </c>
      <c r="F36" s="4">
        <f t="shared" si="0"/>
        <v>521.59999999999957</v>
      </c>
      <c r="G36" s="4">
        <v>0</v>
      </c>
      <c r="H36" s="18">
        <v>0</v>
      </c>
      <c r="I36" s="18">
        <v>0</v>
      </c>
      <c r="J36" s="13">
        <f t="shared" si="2"/>
        <v>0</v>
      </c>
      <c r="K36" s="29">
        <f t="shared" si="3"/>
        <v>0</v>
      </c>
    </row>
  </sheetData>
  <mergeCells count="1">
    <mergeCell ref="C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F0E3-E34F-4773-9021-1611840AA9C6}">
  <sheetPr>
    <tabColor theme="5"/>
  </sheetPr>
  <dimension ref="B1:M36"/>
  <sheetViews>
    <sheetView topLeftCell="A3" workbookViewId="0">
      <selection activeCell="M30" sqref="M30"/>
    </sheetView>
  </sheetViews>
  <sheetFormatPr defaultColWidth="10.90625" defaultRowHeight="14.5" outlineLevelRow="1" x14ac:dyDescent="0.35"/>
  <cols>
    <col min="1" max="1" width="3.26953125" customWidth="1"/>
    <col min="2" max="2" width="12.90625" customWidth="1"/>
    <col min="3" max="3" width="9" bestFit="1" customWidth="1"/>
    <col min="4" max="4" width="9" customWidth="1"/>
    <col min="5" max="7" width="10.36328125" bestFit="1" customWidth="1"/>
    <col min="8" max="8" width="10.90625" style="4"/>
    <col min="9" max="9" width="15.90625" customWidth="1"/>
    <col min="10" max="10" width="16.90625" style="13" customWidth="1"/>
    <col min="11" max="11" width="14.36328125" style="4" customWidth="1"/>
    <col min="12" max="12" width="40.26953125" style="30" customWidth="1"/>
    <col min="13" max="13" width="24.26953125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J2" s="13"/>
      <c r="L2" s="31"/>
    </row>
    <row r="3" spans="2:13" collapsed="1" x14ac:dyDescent="0.35"/>
    <row r="4" spans="2:13" s="2" customFormat="1" ht="24.5" customHeight="1" x14ac:dyDescent="0.35">
      <c r="C4" s="58" t="s">
        <v>3</v>
      </c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5" t="s">
        <v>19</v>
      </c>
      <c r="L5" s="3" t="s">
        <v>20</v>
      </c>
      <c r="M5" s="3" t="s">
        <v>39</v>
      </c>
    </row>
    <row r="6" spans="2:13" x14ac:dyDescent="0.35">
      <c r="B6" s="1">
        <v>46173</v>
      </c>
      <c r="C6" s="4">
        <v>150</v>
      </c>
      <c r="D6" s="4">
        <v>304.5</v>
      </c>
      <c r="E6" s="4">
        <f>2413.22+400</f>
        <v>2813.22</v>
      </c>
      <c r="F6" s="4">
        <f>+E6-$E$2-I6</f>
        <v>2394.7799999999997</v>
      </c>
      <c r="G6" s="4">
        <v>0</v>
      </c>
      <c r="H6" s="4">
        <v>223.12</v>
      </c>
      <c r="I6" s="4">
        <v>18.440000000000001</v>
      </c>
      <c r="J6" s="13">
        <f>D6-H6</f>
        <v>81.38</v>
      </c>
      <c r="K6" s="4">
        <f>H6-I6</f>
        <v>204.68</v>
      </c>
      <c r="L6" s="30" t="s">
        <v>28</v>
      </c>
      <c r="M6" t="s">
        <v>40</v>
      </c>
    </row>
    <row r="7" spans="2:13" x14ac:dyDescent="0.35">
      <c r="B7" s="1">
        <v>46174</v>
      </c>
      <c r="C7" s="4">
        <v>150</v>
      </c>
      <c r="D7" s="4">
        <v>244.3</v>
      </c>
      <c r="E7" s="4">
        <f>+E6+D7-G6</f>
        <v>3057.52</v>
      </c>
      <c r="F7" s="4">
        <f t="shared" ref="F7:F36" si="0">+E7-$E$2-I7</f>
        <v>2657.52</v>
      </c>
      <c r="G7" s="4">
        <v>0</v>
      </c>
      <c r="H7" s="4">
        <v>245</v>
      </c>
      <c r="I7" s="4">
        <v>0</v>
      </c>
      <c r="J7" s="13">
        <f t="shared" ref="J7:J36" si="1">D7-H7</f>
        <v>-0.69999999999998863</v>
      </c>
      <c r="K7" s="4">
        <f t="shared" ref="K7:K36" si="2">H7-I7</f>
        <v>245</v>
      </c>
    </row>
    <row r="8" spans="2:13" x14ac:dyDescent="0.35">
      <c r="B8" s="1">
        <v>46175</v>
      </c>
      <c r="C8" s="4">
        <v>150</v>
      </c>
      <c r="D8" s="4">
        <v>117.9</v>
      </c>
      <c r="E8" s="4">
        <f t="shared" ref="E8:E36" si="3">+E7+D8-G7</f>
        <v>3175.42</v>
      </c>
      <c r="F8" s="4">
        <f t="shared" si="0"/>
        <v>2762.77</v>
      </c>
      <c r="G8" s="4">
        <v>0</v>
      </c>
      <c r="H8" s="4">
        <v>83</v>
      </c>
      <c r="I8" s="4">
        <v>12.65</v>
      </c>
      <c r="J8" s="13">
        <f t="shared" si="1"/>
        <v>34.900000000000006</v>
      </c>
      <c r="K8" s="4">
        <f t="shared" si="2"/>
        <v>70.349999999999994</v>
      </c>
      <c r="L8" s="30" t="s">
        <v>28</v>
      </c>
    </row>
    <row r="9" spans="2:13" x14ac:dyDescent="0.35">
      <c r="B9" s="1">
        <v>46176</v>
      </c>
      <c r="C9" s="4">
        <v>150</v>
      </c>
      <c r="D9" s="4">
        <v>126.8</v>
      </c>
      <c r="E9" s="4">
        <f t="shared" si="3"/>
        <v>3302.2200000000003</v>
      </c>
      <c r="F9" s="4">
        <f t="shared" si="0"/>
        <v>2902.2200000000003</v>
      </c>
      <c r="G9" s="4">
        <v>0</v>
      </c>
      <c r="H9" s="4">
        <v>126.7</v>
      </c>
      <c r="I9" s="4">
        <v>0</v>
      </c>
      <c r="J9" s="13">
        <f t="shared" si="1"/>
        <v>9.9999999999994316E-2</v>
      </c>
      <c r="K9" s="4">
        <f t="shared" si="2"/>
        <v>126.7</v>
      </c>
    </row>
    <row r="10" spans="2:13" x14ac:dyDescent="0.35">
      <c r="B10" s="1">
        <v>46177</v>
      </c>
      <c r="C10" s="4">
        <v>150</v>
      </c>
      <c r="D10" s="4">
        <v>200.4</v>
      </c>
      <c r="E10" s="4">
        <f t="shared" si="3"/>
        <v>3502.6200000000003</v>
      </c>
      <c r="F10" s="4">
        <f t="shared" si="0"/>
        <v>3102.6200000000003</v>
      </c>
      <c r="G10" s="4">
        <v>0</v>
      </c>
      <c r="H10" s="4">
        <v>198</v>
      </c>
      <c r="I10" s="4">
        <v>0</v>
      </c>
      <c r="J10" s="13">
        <f t="shared" si="1"/>
        <v>2.4000000000000057</v>
      </c>
      <c r="K10" s="4">
        <f t="shared" si="2"/>
        <v>198</v>
      </c>
    </row>
    <row r="11" spans="2:13" x14ac:dyDescent="0.35">
      <c r="B11" s="1">
        <v>46178</v>
      </c>
      <c r="C11" s="4">
        <v>150</v>
      </c>
      <c r="D11" s="4">
        <v>226.75</v>
      </c>
      <c r="E11" s="4">
        <f t="shared" si="3"/>
        <v>3729.3700000000003</v>
      </c>
      <c r="F11" s="4">
        <f t="shared" si="0"/>
        <v>3329.3700000000003</v>
      </c>
      <c r="G11" s="4">
        <v>0</v>
      </c>
      <c r="H11" s="4">
        <v>185</v>
      </c>
      <c r="I11" s="4">
        <v>0</v>
      </c>
      <c r="J11" s="13">
        <f t="shared" si="1"/>
        <v>41.75</v>
      </c>
      <c r="K11" s="4">
        <f t="shared" si="2"/>
        <v>185</v>
      </c>
      <c r="L11" s="30" t="s">
        <v>23</v>
      </c>
    </row>
    <row r="12" spans="2:13" x14ac:dyDescent="0.35">
      <c r="B12" s="1">
        <v>46179</v>
      </c>
      <c r="C12" s="4">
        <v>150</v>
      </c>
      <c r="D12" s="4">
        <v>208.7</v>
      </c>
      <c r="E12" s="4">
        <f t="shared" si="3"/>
        <v>3938.07</v>
      </c>
      <c r="F12" s="4">
        <f t="shared" si="0"/>
        <v>3538.07</v>
      </c>
      <c r="G12" s="4">
        <v>0</v>
      </c>
      <c r="H12" s="4">
        <v>160</v>
      </c>
      <c r="I12" s="4">
        <v>0</v>
      </c>
      <c r="J12" s="13">
        <f t="shared" si="1"/>
        <v>48.699999999999989</v>
      </c>
      <c r="K12" s="4">
        <f t="shared" si="2"/>
        <v>160</v>
      </c>
      <c r="L12" s="30" t="s">
        <v>23</v>
      </c>
    </row>
    <row r="13" spans="2:13" x14ac:dyDescent="0.35">
      <c r="B13" s="1">
        <v>46180</v>
      </c>
      <c r="C13" s="4">
        <v>150</v>
      </c>
      <c r="D13" s="4">
        <v>173.9</v>
      </c>
      <c r="E13" s="4">
        <f t="shared" si="3"/>
        <v>4111.97</v>
      </c>
      <c r="F13" s="4">
        <f t="shared" si="0"/>
        <v>3711.9700000000003</v>
      </c>
      <c r="G13" s="4">
        <v>0</v>
      </c>
      <c r="H13" s="4">
        <v>174</v>
      </c>
      <c r="I13" s="4">
        <v>0</v>
      </c>
      <c r="J13" s="13">
        <f t="shared" si="1"/>
        <v>-9.9999999999994316E-2</v>
      </c>
      <c r="K13" s="4">
        <f t="shared" si="2"/>
        <v>174</v>
      </c>
      <c r="L13" s="30" t="s">
        <v>22</v>
      </c>
    </row>
    <row r="14" spans="2:13" x14ac:dyDescent="0.35">
      <c r="B14" s="1">
        <v>46181</v>
      </c>
      <c r="C14" s="4">
        <v>150</v>
      </c>
      <c r="D14" s="4">
        <v>68.58</v>
      </c>
      <c r="E14" s="4">
        <f t="shared" si="3"/>
        <v>4180.55</v>
      </c>
      <c r="F14" s="4">
        <f t="shared" si="0"/>
        <v>3780.55</v>
      </c>
      <c r="G14" s="4">
        <v>0</v>
      </c>
      <c r="H14" s="4">
        <v>69</v>
      </c>
      <c r="I14" s="4">
        <v>0</v>
      </c>
      <c r="J14" s="13">
        <f t="shared" si="1"/>
        <v>-0.42000000000000171</v>
      </c>
      <c r="K14" s="4">
        <f t="shared" si="2"/>
        <v>69</v>
      </c>
      <c r="L14" s="30" t="s">
        <v>22</v>
      </c>
    </row>
    <row r="15" spans="2:13" x14ac:dyDescent="0.35">
      <c r="B15" s="1">
        <v>46182</v>
      </c>
      <c r="C15" s="4">
        <v>150</v>
      </c>
      <c r="D15" s="4">
        <v>193.4</v>
      </c>
      <c r="E15" s="4">
        <f t="shared" si="3"/>
        <v>4373.95</v>
      </c>
      <c r="F15" s="4">
        <f t="shared" si="0"/>
        <v>3927.21</v>
      </c>
      <c r="G15" s="4">
        <v>0</v>
      </c>
      <c r="H15" s="4">
        <v>193.5</v>
      </c>
      <c r="I15" s="4">
        <v>46.74</v>
      </c>
      <c r="J15" s="13">
        <f t="shared" si="1"/>
        <v>-9.9999999999994316E-2</v>
      </c>
      <c r="K15" s="4">
        <f t="shared" si="2"/>
        <v>146.76</v>
      </c>
      <c r="L15" s="30" t="s">
        <v>22</v>
      </c>
    </row>
    <row r="16" spans="2:13" x14ac:dyDescent="0.35">
      <c r="B16" s="1">
        <v>46183</v>
      </c>
      <c r="C16" s="4">
        <v>150</v>
      </c>
      <c r="D16" s="4">
        <v>146.69999999999999</v>
      </c>
      <c r="E16" s="4">
        <f t="shared" si="3"/>
        <v>4520.6499999999996</v>
      </c>
      <c r="F16" s="4">
        <f t="shared" si="0"/>
        <v>4120.6499999999996</v>
      </c>
      <c r="G16" s="4">
        <v>0</v>
      </c>
      <c r="H16" s="4">
        <v>146.69999999999999</v>
      </c>
      <c r="I16" s="4">
        <v>0</v>
      </c>
      <c r="J16" s="13">
        <f t="shared" si="1"/>
        <v>0</v>
      </c>
      <c r="K16" s="4">
        <f t="shared" si="2"/>
        <v>146.69999999999999</v>
      </c>
      <c r="L16" s="30" t="s">
        <v>22</v>
      </c>
    </row>
    <row r="17" spans="2:12" x14ac:dyDescent="0.35">
      <c r="B17" s="1">
        <v>46184</v>
      </c>
      <c r="C17" s="4">
        <v>150</v>
      </c>
      <c r="D17" s="4">
        <v>195.5</v>
      </c>
      <c r="E17" s="4">
        <f t="shared" si="3"/>
        <v>4716.1499999999996</v>
      </c>
      <c r="F17" s="4">
        <f t="shared" si="0"/>
        <v>4316.1499999999996</v>
      </c>
      <c r="G17" s="4">
        <v>0</v>
      </c>
      <c r="H17" s="4">
        <v>195.5</v>
      </c>
      <c r="I17" s="4">
        <v>0</v>
      </c>
      <c r="J17" s="13">
        <f t="shared" si="1"/>
        <v>0</v>
      </c>
      <c r="K17" s="4">
        <f t="shared" si="2"/>
        <v>195.5</v>
      </c>
      <c r="L17" s="30" t="s">
        <v>22</v>
      </c>
    </row>
    <row r="18" spans="2:12" x14ac:dyDescent="0.35">
      <c r="B18" s="1">
        <v>46185</v>
      </c>
      <c r="C18" s="4">
        <v>150</v>
      </c>
      <c r="D18" s="4">
        <v>321</v>
      </c>
      <c r="E18" s="4">
        <f t="shared" si="3"/>
        <v>5037.1499999999996</v>
      </c>
      <c r="F18" s="4">
        <f t="shared" si="0"/>
        <v>4637.1499999999996</v>
      </c>
      <c r="G18" s="50">
        <v>5415</v>
      </c>
      <c r="H18" s="4">
        <v>321</v>
      </c>
      <c r="I18" s="4">
        <v>0</v>
      </c>
      <c r="J18" s="13">
        <f t="shared" si="1"/>
        <v>0</v>
      </c>
      <c r="K18" s="4">
        <f t="shared" si="2"/>
        <v>321</v>
      </c>
      <c r="L18" s="30" t="s">
        <v>22</v>
      </c>
    </row>
    <row r="19" spans="2:12" x14ac:dyDescent="0.35">
      <c r="B19" s="1">
        <v>46186</v>
      </c>
      <c r="C19" s="4">
        <v>150</v>
      </c>
      <c r="D19" s="4">
        <v>221.3</v>
      </c>
      <c r="E19" s="4">
        <f t="shared" si="3"/>
        <v>-156.55000000000018</v>
      </c>
      <c r="F19" s="4">
        <f t="shared" si="0"/>
        <v>-556.55000000000018</v>
      </c>
      <c r="G19" s="4">
        <v>0</v>
      </c>
      <c r="H19" s="4">
        <v>221.3</v>
      </c>
      <c r="I19" s="4">
        <v>0</v>
      </c>
      <c r="J19" s="13">
        <f t="shared" si="1"/>
        <v>0</v>
      </c>
      <c r="K19" s="4">
        <f t="shared" si="2"/>
        <v>221.3</v>
      </c>
      <c r="L19" s="30" t="s">
        <v>22</v>
      </c>
    </row>
    <row r="20" spans="2:12" x14ac:dyDescent="0.35">
      <c r="B20" s="1">
        <v>46187</v>
      </c>
      <c r="C20" s="4">
        <v>150</v>
      </c>
      <c r="D20" s="4">
        <v>454.8</v>
      </c>
      <c r="E20" s="4">
        <f t="shared" si="3"/>
        <v>298.24999999999983</v>
      </c>
      <c r="F20" s="4">
        <f t="shared" si="0"/>
        <v>-101.75000000000017</v>
      </c>
      <c r="G20" s="4">
        <v>0</v>
      </c>
      <c r="H20" s="4">
        <v>445</v>
      </c>
      <c r="I20" s="4">
        <v>0</v>
      </c>
      <c r="J20" s="13">
        <f t="shared" si="1"/>
        <v>9.8000000000000114</v>
      </c>
      <c r="K20" s="4">
        <f t="shared" si="2"/>
        <v>445</v>
      </c>
      <c r="L20" s="30" t="s">
        <v>22</v>
      </c>
    </row>
    <row r="21" spans="2:12" x14ac:dyDescent="0.35">
      <c r="B21" s="1">
        <v>46188</v>
      </c>
      <c r="C21" s="4">
        <v>150</v>
      </c>
      <c r="D21" s="4">
        <v>169.1</v>
      </c>
      <c r="E21" s="4">
        <f t="shared" si="3"/>
        <v>467.3499999999998</v>
      </c>
      <c r="F21" s="4">
        <f t="shared" si="0"/>
        <v>67.349999999999795</v>
      </c>
      <c r="G21" s="4">
        <v>0</v>
      </c>
      <c r="H21" s="4">
        <v>169.1</v>
      </c>
      <c r="I21" s="4">
        <v>0</v>
      </c>
      <c r="J21" s="13">
        <f>D21-H21</f>
        <v>0</v>
      </c>
      <c r="K21" s="4">
        <f t="shared" si="2"/>
        <v>169.1</v>
      </c>
      <c r="L21" s="30" t="s">
        <v>22</v>
      </c>
    </row>
    <row r="22" spans="2:12" x14ac:dyDescent="0.35">
      <c r="B22" s="1">
        <v>46189</v>
      </c>
      <c r="C22" s="4">
        <v>150</v>
      </c>
      <c r="D22" s="4">
        <v>156.78</v>
      </c>
      <c r="E22" s="4">
        <f t="shared" si="3"/>
        <v>624.12999999999977</v>
      </c>
      <c r="F22" s="4">
        <f t="shared" si="0"/>
        <v>224.12999999999977</v>
      </c>
      <c r="G22" s="4">
        <v>0</v>
      </c>
      <c r="H22" s="4">
        <v>156.78</v>
      </c>
      <c r="I22" s="4">
        <v>0</v>
      </c>
      <c r="J22" s="13">
        <f t="shared" si="1"/>
        <v>0</v>
      </c>
      <c r="K22" s="4">
        <f t="shared" si="2"/>
        <v>156.78</v>
      </c>
      <c r="L22" s="30" t="s">
        <v>22</v>
      </c>
    </row>
    <row r="23" spans="2:12" x14ac:dyDescent="0.35">
      <c r="B23" s="1">
        <v>46190</v>
      </c>
      <c r="C23" s="4">
        <v>150</v>
      </c>
      <c r="D23" s="4">
        <v>101.5</v>
      </c>
      <c r="E23" s="4">
        <f t="shared" si="3"/>
        <v>725.62999999999977</v>
      </c>
      <c r="F23" s="4">
        <f t="shared" si="0"/>
        <v>325.62999999999977</v>
      </c>
      <c r="G23" s="4">
        <v>0</v>
      </c>
      <c r="H23" s="4">
        <v>101.5</v>
      </c>
      <c r="I23" s="4">
        <v>0</v>
      </c>
      <c r="J23" s="13">
        <f t="shared" si="1"/>
        <v>0</v>
      </c>
      <c r="K23" s="4">
        <f t="shared" si="2"/>
        <v>101.5</v>
      </c>
      <c r="L23" s="30" t="s">
        <v>22</v>
      </c>
    </row>
    <row r="24" spans="2:12" x14ac:dyDescent="0.35">
      <c r="B24" s="1">
        <v>46191</v>
      </c>
      <c r="C24" s="4">
        <v>150</v>
      </c>
      <c r="D24" s="4">
        <v>171.4</v>
      </c>
      <c r="E24" s="4">
        <f t="shared" si="3"/>
        <v>897.02999999999975</v>
      </c>
      <c r="F24" s="4">
        <f t="shared" si="0"/>
        <v>476.62999999999977</v>
      </c>
      <c r="G24" s="4">
        <v>0</v>
      </c>
      <c r="H24" s="4">
        <v>151</v>
      </c>
      <c r="I24" s="4">
        <v>20.399999999999999</v>
      </c>
      <c r="J24" s="13">
        <f t="shared" si="1"/>
        <v>20.400000000000006</v>
      </c>
      <c r="K24" s="4">
        <f t="shared" si="2"/>
        <v>130.6</v>
      </c>
    </row>
    <row r="25" spans="2:12" x14ac:dyDescent="0.35">
      <c r="B25" s="1">
        <v>46192</v>
      </c>
      <c r="C25" s="4">
        <v>150</v>
      </c>
      <c r="D25" s="4">
        <v>190.43</v>
      </c>
      <c r="E25" s="4">
        <f t="shared" si="3"/>
        <v>1087.4599999999998</v>
      </c>
      <c r="F25" s="4">
        <f t="shared" si="0"/>
        <v>687.45999999999981</v>
      </c>
      <c r="G25" s="4">
        <v>0</v>
      </c>
      <c r="H25" s="4">
        <v>190.43</v>
      </c>
      <c r="I25" s="4">
        <v>0</v>
      </c>
      <c r="J25" s="13">
        <f t="shared" si="1"/>
        <v>0</v>
      </c>
      <c r="K25" s="4">
        <f t="shared" si="2"/>
        <v>190.43</v>
      </c>
    </row>
    <row r="26" spans="2:12" x14ac:dyDescent="0.35">
      <c r="B26" s="1">
        <v>46193</v>
      </c>
      <c r="C26" s="4">
        <v>150</v>
      </c>
      <c r="D26" s="4">
        <v>249.3</v>
      </c>
      <c r="E26" s="4">
        <f t="shared" si="3"/>
        <v>1336.7599999999998</v>
      </c>
      <c r="F26" s="4">
        <f t="shared" si="0"/>
        <v>936.75999999999976</v>
      </c>
      <c r="G26" s="4">
        <v>0</v>
      </c>
      <c r="H26" s="4">
        <v>0</v>
      </c>
      <c r="I26" s="4">
        <v>0</v>
      </c>
      <c r="J26" s="13">
        <f t="shared" si="1"/>
        <v>249.3</v>
      </c>
      <c r="K26" s="4">
        <f t="shared" si="2"/>
        <v>0</v>
      </c>
    </row>
    <row r="27" spans="2:12" x14ac:dyDescent="0.35">
      <c r="B27" s="1">
        <v>46194</v>
      </c>
      <c r="C27" s="4">
        <v>150</v>
      </c>
      <c r="D27" s="4">
        <v>356.84</v>
      </c>
      <c r="E27" s="4">
        <f t="shared" si="3"/>
        <v>1693.5999999999997</v>
      </c>
      <c r="F27" s="4">
        <f t="shared" si="0"/>
        <v>1293.5999999999997</v>
      </c>
      <c r="G27" s="4">
        <v>0</v>
      </c>
      <c r="H27" s="4">
        <v>0</v>
      </c>
      <c r="I27" s="4">
        <v>0</v>
      </c>
      <c r="J27" s="13">
        <f t="shared" si="1"/>
        <v>356.84</v>
      </c>
      <c r="K27" s="4">
        <f t="shared" si="2"/>
        <v>0</v>
      </c>
    </row>
    <row r="28" spans="2:12" x14ac:dyDescent="0.35">
      <c r="B28" s="1">
        <v>46195</v>
      </c>
      <c r="C28" s="4">
        <v>150</v>
      </c>
      <c r="D28" s="4">
        <v>138.80000000000001</v>
      </c>
      <c r="E28" s="4">
        <f t="shared" si="3"/>
        <v>1832.3999999999996</v>
      </c>
      <c r="F28" s="4">
        <f t="shared" si="0"/>
        <v>1400.5499999999997</v>
      </c>
      <c r="G28" s="4">
        <v>0</v>
      </c>
      <c r="H28" s="4">
        <v>107.9</v>
      </c>
      <c r="I28" s="4">
        <v>31.85</v>
      </c>
      <c r="J28" s="13">
        <f t="shared" si="1"/>
        <v>30.900000000000006</v>
      </c>
      <c r="K28" s="4">
        <f t="shared" si="2"/>
        <v>76.050000000000011</v>
      </c>
    </row>
    <row r="29" spans="2:12" x14ac:dyDescent="0.35">
      <c r="B29" s="1">
        <v>46196</v>
      </c>
      <c r="C29" s="4">
        <v>150</v>
      </c>
      <c r="D29" s="4">
        <v>73.95</v>
      </c>
      <c r="E29" s="4">
        <f t="shared" si="3"/>
        <v>1906.3499999999997</v>
      </c>
      <c r="F29" s="4">
        <f t="shared" si="0"/>
        <v>1506.3499999999997</v>
      </c>
      <c r="G29" s="4">
        <v>0</v>
      </c>
      <c r="H29" s="4">
        <v>0</v>
      </c>
      <c r="I29" s="4">
        <v>0</v>
      </c>
      <c r="J29" s="13">
        <f t="shared" si="1"/>
        <v>73.95</v>
      </c>
      <c r="K29" s="4">
        <f t="shared" si="2"/>
        <v>0</v>
      </c>
    </row>
    <row r="30" spans="2:12" x14ac:dyDescent="0.35">
      <c r="B30" s="1">
        <v>46197</v>
      </c>
      <c r="C30" s="4">
        <v>150</v>
      </c>
      <c r="D30" s="4">
        <v>48.1</v>
      </c>
      <c r="E30" s="4">
        <f t="shared" si="3"/>
        <v>1954.4499999999996</v>
      </c>
      <c r="F30" s="4">
        <f t="shared" si="0"/>
        <v>1554.4499999999996</v>
      </c>
      <c r="G30" s="4">
        <v>0</v>
      </c>
      <c r="H30" s="4">
        <v>0</v>
      </c>
      <c r="I30" s="4">
        <v>0</v>
      </c>
      <c r="J30" s="13">
        <f t="shared" si="1"/>
        <v>48.1</v>
      </c>
      <c r="K30" s="4">
        <f t="shared" si="2"/>
        <v>0</v>
      </c>
    </row>
    <row r="31" spans="2:12" x14ac:dyDescent="0.35">
      <c r="B31" s="1">
        <v>46198</v>
      </c>
      <c r="C31" s="4">
        <v>150</v>
      </c>
      <c r="D31" s="4">
        <v>390.94</v>
      </c>
      <c r="E31" s="4">
        <f t="shared" si="3"/>
        <v>2345.3899999999994</v>
      </c>
      <c r="F31" s="4">
        <f t="shared" si="0"/>
        <v>1945.3899999999994</v>
      </c>
      <c r="G31" s="4">
        <v>0</v>
      </c>
      <c r="H31" s="4">
        <v>0</v>
      </c>
      <c r="I31" s="4">
        <v>0</v>
      </c>
      <c r="J31" s="13">
        <f t="shared" si="1"/>
        <v>390.94</v>
      </c>
      <c r="K31" s="4">
        <f t="shared" si="2"/>
        <v>0</v>
      </c>
    </row>
    <row r="32" spans="2:12" x14ac:dyDescent="0.35">
      <c r="B32" s="1">
        <v>46199</v>
      </c>
      <c r="C32" s="4">
        <v>150</v>
      </c>
      <c r="D32" s="4">
        <v>238.42</v>
      </c>
      <c r="E32" s="4">
        <f t="shared" si="3"/>
        <v>2583.8099999999995</v>
      </c>
      <c r="F32" s="4">
        <f t="shared" si="0"/>
        <v>2183.8099999999995</v>
      </c>
      <c r="G32" s="4">
        <v>0</v>
      </c>
      <c r="H32" s="4">
        <v>0</v>
      </c>
      <c r="I32" s="4">
        <v>0</v>
      </c>
      <c r="J32" s="13">
        <f t="shared" si="1"/>
        <v>238.42</v>
      </c>
      <c r="K32" s="4">
        <f t="shared" si="2"/>
        <v>0</v>
      </c>
    </row>
    <row r="33" spans="2:11" x14ac:dyDescent="0.35">
      <c r="B33" s="1">
        <v>46200</v>
      </c>
      <c r="C33" s="4">
        <v>150</v>
      </c>
      <c r="D33" s="4">
        <v>199.56</v>
      </c>
      <c r="E33" s="4">
        <f t="shared" si="3"/>
        <v>2783.3699999999994</v>
      </c>
      <c r="F33" s="4">
        <f t="shared" si="0"/>
        <v>2383.3699999999994</v>
      </c>
      <c r="G33" s="4">
        <v>0</v>
      </c>
      <c r="H33" s="4">
        <v>0</v>
      </c>
      <c r="I33" s="4">
        <v>0</v>
      </c>
      <c r="J33" s="13">
        <f t="shared" si="1"/>
        <v>199.56</v>
      </c>
      <c r="K33" s="4">
        <f t="shared" si="2"/>
        <v>0</v>
      </c>
    </row>
    <row r="34" spans="2:11" x14ac:dyDescent="0.35">
      <c r="B34" s="1">
        <v>46201</v>
      </c>
      <c r="C34" s="4">
        <v>150</v>
      </c>
      <c r="D34" s="4">
        <v>430.1</v>
      </c>
      <c r="E34" s="4">
        <f t="shared" si="3"/>
        <v>3213.4699999999993</v>
      </c>
      <c r="F34" s="4">
        <f t="shared" si="0"/>
        <v>2813.4699999999993</v>
      </c>
      <c r="G34" s="4">
        <v>0</v>
      </c>
      <c r="H34" s="4">
        <v>0</v>
      </c>
      <c r="I34" s="4">
        <v>0</v>
      </c>
      <c r="J34" s="13">
        <f t="shared" si="1"/>
        <v>430.1</v>
      </c>
      <c r="K34" s="4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3213.4699999999993</v>
      </c>
      <c r="F35" s="4">
        <f t="shared" si="0"/>
        <v>2813.4699999999993</v>
      </c>
      <c r="G35" s="4">
        <v>0</v>
      </c>
      <c r="H35" s="4">
        <v>0</v>
      </c>
      <c r="I35" s="4">
        <v>0</v>
      </c>
      <c r="J35" s="13">
        <f t="shared" si="1"/>
        <v>0</v>
      </c>
      <c r="K35" s="4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3213.4699999999993</v>
      </c>
      <c r="F36" s="4">
        <f t="shared" si="0"/>
        <v>2813.4699999999993</v>
      </c>
      <c r="G36" s="4">
        <v>0</v>
      </c>
      <c r="H36" s="4">
        <v>0</v>
      </c>
      <c r="I36" s="4">
        <v>0</v>
      </c>
      <c r="J36" s="13">
        <f t="shared" si="1"/>
        <v>0</v>
      </c>
      <c r="K36" s="4">
        <f t="shared" si="2"/>
        <v>0</v>
      </c>
    </row>
  </sheetData>
  <mergeCells count="1">
    <mergeCell ref="C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8068-2C94-4BCF-9BAD-BE3A27CAFFAF}">
  <sheetPr>
    <tabColor theme="2" tint="-0.499984740745262"/>
  </sheetPr>
  <dimension ref="B1:M36"/>
  <sheetViews>
    <sheetView tabSelected="1" workbookViewId="0">
      <selection activeCell="C4" sqref="C4:L4"/>
    </sheetView>
  </sheetViews>
  <sheetFormatPr defaultColWidth="10.90625" defaultRowHeight="14.5" outlineLevelRow="1" x14ac:dyDescent="0.35"/>
  <cols>
    <col min="1" max="1" width="3.26953125" customWidth="1"/>
    <col min="2" max="2" width="12.453125" customWidth="1"/>
    <col min="3" max="3" width="9" bestFit="1" customWidth="1"/>
    <col min="4" max="4" width="9" customWidth="1"/>
    <col min="5" max="5" width="10.36328125" bestFit="1" customWidth="1"/>
    <col min="6" max="6" width="12.54296875" customWidth="1"/>
    <col min="7" max="7" width="12.36328125" customWidth="1"/>
    <col min="8" max="8" width="10.90625" style="4"/>
    <col min="9" max="9" width="15.08984375" style="4" customWidth="1"/>
    <col min="10" max="10" width="15.90625" style="13" customWidth="1"/>
    <col min="11" max="11" width="16.81640625" customWidth="1"/>
    <col min="12" max="12" width="17.54296875" style="33" customWidth="1"/>
  </cols>
  <sheetData>
    <row r="1" spans="2:13" outlineLevel="1" x14ac:dyDescent="0.35"/>
    <row r="2" spans="2:13" s="4" customFormat="1" outlineLevel="1" x14ac:dyDescent="0.35">
      <c r="C2" s="4">
        <v>150</v>
      </c>
      <c r="E2" s="4">
        <v>400</v>
      </c>
      <c r="J2" s="13"/>
      <c r="L2" s="27"/>
    </row>
    <row r="4" spans="2:13" s="2" customFormat="1" ht="28.5" customHeight="1" x14ac:dyDescent="0.35">
      <c r="C4" s="53" t="s">
        <v>4</v>
      </c>
      <c r="D4" s="53"/>
      <c r="E4" s="53"/>
      <c r="F4" s="53"/>
      <c r="G4" s="53"/>
      <c r="H4" s="53"/>
      <c r="I4" s="53"/>
      <c r="J4" s="53"/>
      <c r="K4" s="53"/>
      <c r="L4" s="53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4" t="s">
        <v>20</v>
      </c>
    </row>
    <row r="6" spans="2:13" x14ac:dyDescent="0.35">
      <c r="B6" s="1">
        <v>46173</v>
      </c>
      <c r="C6" s="4">
        <v>150</v>
      </c>
      <c r="D6" s="4">
        <v>60.4</v>
      </c>
      <c r="E6" s="4">
        <f>E2</f>
        <v>400</v>
      </c>
      <c r="F6" s="4">
        <f>+E6-$E$2-I6</f>
        <v>0</v>
      </c>
      <c r="G6" s="4">
        <v>60.55</v>
      </c>
      <c r="H6" s="4">
        <v>60.55</v>
      </c>
      <c r="I6" s="4">
        <v>0</v>
      </c>
      <c r="J6" s="13">
        <f>D6-H6</f>
        <v>-0.14999999999999858</v>
      </c>
      <c r="K6" s="12">
        <f>H6-I6</f>
        <v>60.55</v>
      </c>
    </row>
    <row r="7" spans="2:13" x14ac:dyDescent="0.35">
      <c r="B7" s="1">
        <v>46174</v>
      </c>
      <c r="C7" s="4">
        <v>150</v>
      </c>
      <c r="D7" s="4">
        <v>39.950000000000003</v>
      </c>
      <c r="E7" s="4">
        <f>+E6+D7-G6</f>
        <v>379.4</v>
      </c>
      <c r="F7" s="4">
        <f t="shared" ref="F7:F36" si="0">+E7-$E$2-I7</f>
        <v>-20.600000000000023</v>
      </c>
      <c r="G7" s="4">
        <v>39.950000000000003</v>
      </c>
      <c r="H7" s="4">
        <v>39.950000000000003</v>
      </c>
      <c r="I7" s="4">
        <v>0</v>
      </c>
      <c r="J7" s="13">
        <f t="shared" ref="J7:J36" si="1">D7-H7</f>
        <v>0</v>
      </c>
      <c r="K7" s="12">
        <f t="shared" ref="K7:K36" si="2">H7-I7</f>
        <v>39.950000000000003</v>
      </c>
    </row>
    <row r="8" spans="2:13" x14ac:dyDescent="0.35">
      <c r="B8" s="1">
        <v>46175</v>
      </c>
      <c r="C8" s="4">
        <v>150</v>
      </c>
      <c r="D8" s="4">
        <v>50.55</v>
      </c>
      <c r="E8" s="4">
        <f t="shared" ref="E8:E36" si="3">+E7+D8-G7</f>
        <v>390</v>
      </c>
      <c r="F8" s="4">
        <f t="shared" si="0"/>
        <v>-10</v>
      </c>
      <c r="G8" s="4">
        <v>50.6</v>
      </c>
      <c r="H8" s="4">
        <v>50.55</v>
      </c>
      <c r="I8" s="4">
        <v>0</v>
      </c>
      <c r="J8" s="13">
        <f t="shared" si="1"/>
        <v>0</v>
      </c>
      <c r="K8" s="12">
        <f t="shared" si="2"/>
        <v>50.55</v>
      </c>
    </row>
    <row r="9" spans="2:13" x14ac:dyDescent="0.35">
      <c r="B9" s="1">
        <v>46176</v>
      </c>
      <c r="C9" s="4">
        <v>150</v>
      </c>
      <c r="D9" s="4">
        <v>23.8</v>
      </c>
      <c r="E9" s="4">
        <f t="shared" si="3"/>
        <v>363.2</v>
      </c>
      <c r="F9" s="4">
        <f t="shared" si="0"/>
        <v>-36.800000000000011</v>
      </c>
      <c r="G9" s="4">
        <v>23.8</v>
      </c>
      <c r="H9" s="4">
        <v>23.8</v>
      </c>
      <c r="I9" s="4">
        <v>0</v>
      </c>
      <c r="J9" s="13">
        <f t="shared" si="1"/>
        <v>0</v>
      </c>
      <c r="K9" s="12">
        <f t="shared" si="2"/>
        <v>23.8</v>
      </c>
    </row>
    <row r="10" spans="2:13" x14ac:dyDescent="0.35">
      <c r="B10" s="1">
        <v>46177</v>
      </c>
      <c r="C10" s="4">
        <v>150</v>
      </c>
      <c r="D10" s="4">
        <v>41.65</v>
      </c>
      <c r="E10" s="4">
        <f t="shared" si="3"/>
        <v>381.04999999999995</v>
      </c>
      <c r="F10" s="4">
        <f t="shared" si="0"/>
        <v>-18.950000000000045</v>
      </c>
      <c r="G10" s="4">
        <v>41.8</v>
      </c>
      <c r="H10" s="4">
        <v>41.8</v>
      </c>
      <c r="I10" s="4">
        <v>0</v>
      </c>
      <c r="J10" s="13">
        <f t="shared" si="1"/>
        <v>-0.14999999999999858</v>
      </c>
      <c r="K10" s="12">
        <f t="shared" si="2"/>
        <v>41.8</v>
      </c>
    </row>
    <row r="11" spans="2:13" x14ac:dyDescent="0.35">
      <c r="B11" s="1">
        <v>46178</v>
      </c>
      <c r="C11" s="4">
        <v>150</v>
      </c>
      <c r="D11" s="4">
        <v>27.42</v>
      </c>
      <c r="E11" s="4">
        <f t="shared" si="3"/>
        <v>366.66999999999996</v>
      </c>
      <c r="F11" s="4">
        <f t="shared" si="0"/>
        <v>-33.330000000000041</v>
      </c>
      <c r="G11" s="4">
        <v>27.7</v>
      </c>
      <c r="H11" s="4">
        <v>27.7</v>
      </c>
      <c r="I11" s="4">
        <v>0</v>
      </c>
      <c r="J11" s="13">
        <f t="shared" si="1"/>
        <v>-0.27999999999999758</v>
      </c>
      <c r="K11" s="12">
        <f t="shared" si="2"/>
        <v>27.7</v>
      </c>
    </row>
    <row r="12" spans="2:13" x14ac:dyDescent="0.35">
      <c r="B12" s="1">
        <v>46179</v>
      </c>
      <c r="C12" s="4">
        <v>150</v>
      </c>
      <c r="D12" s="4">
        <v>19.600000000000001</v>
      </c>
      <c r="E12" s="4">
        <f t="shared" si="3"/>
        <v>358.57</v>
      </c>
      <c r="F12" s="4">
        <f t="shared" si="0"/>
        <v>-41.430000000000007</v>
      </c>
      <c r="G12" s="4">
        <v>19.600000000000001</v>
      </c>
      <c r="H12" s="4">
        <v>19.600000000000001</v>
      </c>
      <c r="I12" s="4">
        <v>0</v>
      </c>
      <c r="J12" s="13">
        <f t="shared" si="1"/>
        <v>0</v>
      </c>
      <c r="K12" s="12">
        <f t="shared" si="2"/>
        <v>19.600000000000001</v>
      </c>
      <c r="M12" s="46" t="s">
        <v>33</v>
      </c>
    </row>
    <row r="13" spans="2:13" x14ac:dyDescent="0.35">
      <c r="B13" s="1">
        <v>46180</v>
      </c>
      <c r="C13" s="4">
        <v>150</v>
      </c>
      <c r="D13" s="4">
        <v>26.88</v>
      </c>
      <c r="E13" s="4">
        <f t="shared" si="3"/>
        <v>365.84999999999997</v>
      </c>
      <c r="F13" s="4">
        <f t="shared" si="0"/>
        <v>-34.150000000000034</v>
      </c>
      <c r="G13" s="4">
        <v>26.03</v>
      </c>
      <c r="H13" s="4">
        <v>26.03</v>
      </c>
      <c r="I13" s="4">
        <v>0</v>
      </c>
      <c r="J13" s="13">
        <f t="shared" si="1"/>
        <v>0.84999999999999787</v>
      </c>
      <c r="K13" s="12">
        <f t="shared" si="2"/>
        <v>26.03</v>
      </c>
    </row>
    <row r="14" spans="2:13" x14ac:dyDescent="0.35">
      <c r="B14" s="1">
        <v>46181</v>
      </c>
      <c r="C14" s="4">
        <v>150</v>
      </c>
      <c r="D14" s="4">
        <v>114.05</v>
      </c>
      <c r="E14" s="4">
        <f t="shared" si="3"/>
        <v>453.87</v>
      </c>
      <c r="F14" s="4">
        <f t="shared" si="0"/>
        <v>40.500000000000007</v>
      </c>
      <c r="G14" s="4">
        <v>109.69</v>
      </c>
      <c r="H14" s="4">
        <v>109.69</v>
      </c>
      <c r="I14" s="47">
        <v>13.37</v>
      </c>
      <c r="J14" s="13">
        <f t="shared" si="1"/>
        <v>4.3599999999999994</v>
      </c>
      <c r="K14" s="12">
        <f t="shared" si="2"/>
        <v>96.32</v>
      </c>
      <c r="L14" s="30" t="s">
        <v>26</v>
      </c>
    </row>
    <row r="15" spans="2:13" x14ac:dyDescent="0.35">
      <c r="B15" s="1">
        <v>46182</v>
      </c>
      <c r="C15" s="4">
        <v>150</v>
      </c>
      <c r="D15" s="4">
        <v>54.44</v>
      </c>
      <c r="E15" s="4">
        <f t="shared" si="3"/>
        <v>398.62</v>
      </c>
      <c r="F15" s="4">
        <f t="shared" si="0"/>
        <v>-5.6599999999999957</v>
      </c>
      <c r="G15" s="4">
        <v>40.159999999999997</v>
      </c>
      <c r="H15" s="4">
        <v>40.159999999999997</v>
      </c>
      <c r="I15" s="47">
        <v>4.28</v>
      </c>
      <c r="J15" s="13">
        <f>D15-H15</f>
        <v>14.280000000000001</v>
      </c>
      <c r="K15" s="12">
        <f t="shared" si="2"/>
        <v>35.879999999999995</v>
      </c>
      <c r="L15" s="30" t="s">
        <v>23</v>
      </c>
    </row>
    <row r="16" spans="2:13" x14ac:dyDescent="0.35">
      <c r="B16" s="1">
        <v>46183</v>
      </c>
      <c r="C16" s="4">
        <v>150</v>
      </c>
      <c r="D16" s="4">
        <v>24.3</v>
      </c>
      <c r="E16" s="4">
        <f t="shared" si="3"/>
        <v>382.76</v>
      </c>
      <c r="F16" s="4">
        <f t="shared" si="0"/>
        <v>-25.080000000000009</v>
      </c>
      <c r="G16" s="4">
        <v>16.46</v>
      </c>
      <c r="H16" s="4">
        <v>16.46</v>
      </c>
      <c r="I16" s="47">
        <v>7.84</v>
      </c>
      <c r="J16" s="13">
        <f t="shared" si="1"/>
        <v>7.84</v>
      </c>
      <c r="K16" s="12">
        <f t="shared" si="2"/>
        <v>8.620000000000001</v>
      </c>
      <c r="L16" s="30" t="s">
        <v>23</v>
      </c>
    </row>
    <row r="17" spans="2:12" x14ac:dyDescent="0.35">
      <c r="B17" s="1">
        <v>46184</v>
      </c>
      <c r="C17" s="4">
        <v>150</v>
      </c>
      <c r="D17" s="4">
        <v>39.85</v>
      </c>
      <c r="E17" s="4">
        <f t="shared" si="3"/>
        <v>406.15000000000003</v>
      </c>
      <c r="F17" s="4">
        <f t="shared" si="0"/>
        <v>6.1500000000000341</v>
      </c>
      <c r="G17" s="4">
        <v>40.08</v>
      </c>
      <c r="H17" s="4">
        <v>40.08</v>
      </c>
      <c r="I17" s="4">
        <v>0</v>
      </c>
      <c r="J17" s="13">
        <f t="shared" si="1"/>
        <v>-0.22999999999999687</v>
      </c>
      <c r="K17" s="12">
        <f t="shared" si="2"/>
        <v>40.08</v>
      </c>
    </row>
    <row r="18" spans="2:12" x14ac:dyDescent="0.35">
      <c r="B18" s="1">
        <v>46185</v>
      </c>
      <c r="C18" s="4">
        <v>150</v>
      </c>
      <c r="D18" s="4">
        <v>72.8</v>
      </c>
      <c r="E18" s="4">
        <f t="shared" si="3"/>
        <v>438.87000000000006</v>
      </c>
      <c r="F18" s="4">
        <f t="shared" si="0"/>
        <v>16.730000000000061</v>
      </c>
      <c r="G18" s="4">
        <v>50.66</v>
      </c>
      <c r="H18" s="4">
        <v>50.66</v>
      </c>
      <c r="I18" s="4">
        <v>22.14</v>
      </c>
      <c r="J18" s="13">
        <f t="shared" si="1"/>
        <v>22.14</v>
      </c>
      <c r="K18" s="12">
        <f t="shared" si="2"/>
        <v>28.519999999999996</v>
      </c>
      <c r="L18" s="30" t="s">
        <v>34</v>
      </c>
    </row>
    <row r="19" spans="2:12" x14ac:dyDescent="0.35">
      <c r="B19" s="1">
        <v>46186</v>
      </c>
      <c r="C19" s="4">
        <v>150</v>
      </c>
      <c r="D19" s="4">
        <v>52.6</v>
      </c>
      <c r="E19" s="4">
        <f t="shared" si="3"/>
        <v>440.81000000000006</v>
      </c>
      <c r="F19" s="4">
        <f t="shared" si="0"/>
        <v>40.810000000000059</v>
      </c>
      <c r="G19" s="4">
        <v>52.6</v>
      </c>
      <c r="H19" s="4">
        <v>52.6</v>
      </c>
      <c r="I19" s="4">
        <v>0</v>
      </c>
      <c r="J19" s="13">
        <f t="shared" si="1"/>
        <v>0</v>
      </c>
      <c r="K19" s="12">
        <f t="shared" si="2"/>
        <v>52.6</v>
      </c>
    </row>
    <row r="20" spans="2:12" x14ac:dyDescent="0.35">
      <c r="B20" s="1">
        <v>46187</v>
      </c>
      <c r="C20" s="4">
        <v>150</v>
      </c>
      <c r="D20" s="4">
        <v>105.92</v>
      </c>
      <c r="E20" s="4">
        <f t="shared" si="3"/>
        <v>494.13</v>
      </c>
      <c r="F20" s="4">
        <f t="shared" si="0"/>
        <v>94.13</v>
      </c>
      <c r="G20" s="4">
        <v>105.92</v>
      </c>
      <c r="H20" s="4">
        <v>105.92</v>
      </c>
      <c r="I20" s="4">
        <v>0</v>
      </c>
      <c r="J20" s="13">
        <f t="shared" si="1"/>
        <v>0</v>
      </c>
      <c r="K20" s="12">
        <f t="shared" si="2"/>
        <v>105.92</v>
      </c>
    </row>
    <row r="21" spans="2:12" x14ac:dyDescent="0.35">
      <c r="B21" s="1">
        <v>46188</v>
      </c>
      <c r="C21" s="4">
        <v>150</v>
      </c>
      <c r="D21" s="4">
        <v>64.3</v>
      </c>
      <c r="E21" s="4">
        <f t="shared" si="3"/>
        <v>452.50999999999993</v>
      </c>
      <c r="F21" s="4">
        <f t="shared" si="0"/>
        <v>52.509999999999934</v>
      </c>
      <c r="G21" s="18">
        <v>64.3</v>
      </c>
      <c r="H21" s="4">
        <v>64.3</v>
      </c>
      <c r="I21" s="4">
        <v>0</v>
      </c>
      <c r="J21" s="13">
        <f t="shared" si="1"/>
        <v>0</v>
      </c>
      <c r="K21" s="12">
        <f t="shared" si="2"/>
        <v>64.3</v>
      </c>
    </row>
    <row r="22" spans="2:12" x14ac:dyDescent="0.35">
      <c r="B22" s="1">
        <v>46189</v>
      </c>
      <c r="C22" s="4">
        <v>150</v>
      </c>
      <c r="D22" s="4">
        <v>34.75</v>
      </c>
      <c r="E22" s="4">
        <f t="shared" si="3"/>
        <v>422.95999999999992</v>
      </c>
      <c r="F22" s="4">
        <f t="shared" si="0"/>
        <v>22.959999999999923</v>
      </c>
      <c r="G22" s="4">
        <v>0</v>
      </c>
      <c r="H22" s="4">
        <v>0</v>
      </c>
      <c r="I22" s="4">
        <v>0</v>
      </c>
      <c r="J22" s="13">
        <f t="shared" si="1"/>
        <v>34.75</v>
      </c>
      <c r="K22" s="12">
        <f t="shared" si="2"/>
        <v>0</v>
      </c>
    </row>
    <row r="23" spans="2:12" x14ac:dyDescent="0.35">
      <c r="B23" s="1">
        <v>46190</v>
      </c>
      <c r="C23" s="4">
        <v>150</v>
      </c>
      <c r="D23" s="4">
        <v>18.399999999999999</v>
      </c>
      <c r="E23" s="4">
        <f t="shared" si="3"/>
        <v>441.3599999999999</v>
      </c>
      <c r="F23" s="4">
        <f t="shared" si="0"/>
        <v>41.3599999999999</v>
      </c>
      <c r="G23" s="4">
        <v>0</v>
      </c>
      <c r="H23" s="4">
        <v>0</v>
      </c>
      <c r="I23" s="4">
        <v>0</v>
      </c>
      <c r="J23" s="13">
        <f t="shared" si="1"/>
        <v>18.399999999999999</v>
      </c>
      <c r="K23" s="12">
        <f t="shared" si="2"/>
        <v>0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441.3599999999999</v>
      </c>
      <c r="F24" s="4">
        <f t="shared" si="0"/>
        <v>41.3599999999999</v>
      </c>
      <c r="G24" s="4">
        <v>0</v>
      </c>
      <c r="H24" s="4">
        <v>0</v>
      </c>
      <c r="I24" s="4">
        <v>0</v>
      </c>
      <c r="J24" s="13">
        <f t="shared" si="1"/>
        <v>0</v>
      </c>
      <c r="K24" s="12">
        <f t="shared" si="2"/>
        <v>0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441.3599999999999</v>
      </c>
      <c r="F25" s="4">
        <f t="shared" si="0"/>
        <v>41.3599999999999</v>
      </c>
      <c r="G25" s="4">
        <v>0</v>
      </c>
      <c r="H25" s="4">
        <v>0</v>
      </c>
      <c r="I25" s="4">
        <v>0</v>
      </c>
      <c r="J25" s="13">
        <f t="shared" si="1"/>
        <v>0</v>
      </c>
      <c r="K25" s="12">
        <f t="shared" si="2"/>
        <v>0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441.3599999999999</v>
      </c>
      <c r="F26" s="4">
        <f t="shared" si="0"/>
        <v>41.3599999999999</v>
      </c>
      <c r="G26" s="4">
        <v>0</v>
      </c>
      <c r="H26" s="4">
        <v>0</v>
      </c>
      <c r="I26" s="4">
        <v>0</v>
      </c>
      <c r="J26" s="13">
        <f t="shared" si="1"/>
        <v>0</v>
      </c>
      <c r="K26" s="12">
        <f t="shared" si="2"/>
        <v>0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441.3599999999999</v>
      </c>
      <c r="F27" s="4">
        <f t="shared" si="0"/>
        <v>41.3599999999999</v>
      </c>
      <c r="G27" s="4">
        <v>0</v>
      </c>
      <c r="H27" s="4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441.3599999999999</v>
      </c>
      <c r="F28" s="4">
        <f t="shared" si="0"/>
        <v>41.3599999999999</v>
      </c>
      <c r="G28" s="4">
        <v>0</v>
      </c>
      <c r="H28" s="4">
        <v>0</v>
      </c>
      <c r="I28" s="4">
        <v>0</v>
      </c>
      <c r="J28" s="13">
        <f t="shared" si="1"/>
        <v>0</v>
      </c>
      <c r="K28" s="12">
        <f t="shared" si="2"/>
        <v>0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441.3599999999999</v>
      </c>
      <c r="F29" s="4">
        <f t="shared" si="0"/>
        <v>41.3599999999999</v>
      </c>
      <c r="G29" s="4">
        <v>0</v>
      </c>
      <c r="H29" s="4">
        <v>0</v>
      </c>
      <c r="I29" s="4">
        <v>0</v>
      </c>
      <c r="J29" s="13">
        <f t="shared" si="1"/>
        <v>0</v>
      </c>
      <c r="K29" s="12">
        <f t="shared" si="2"/>
        <v>0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441.3599999999999</v>
      </c>
      <c r="F30" s="4">
        <f t="shared" si="0"/>
        <v>41.3599999999999</v>
      </c>
      <c r="G30" s="4">
        <v>0</v>
      </c>
      <c r="H30" s="4">
        <v>0</v>
      </c>
      <c r="I30" s="4">
        <v>0</v>
      </c>
      <c r="J30" s="13">
        <f t="shared" si="1"/>
        <v>0</v>
      </c>
      <c r="K30" s="12">
        <f t="shared" si="2"/>
        <v>0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441.3599999999999</v>
      </c>
      <c r="F31" s="4">
        <f t="shared" si="0"/>
        <v>41.3599999999999</v>
      </c>
      <c r="G31" s="4">
        <v>0</v>
      </c>
      <c r="H31" s="4">
        <v>0</v>
      </c>
      <c r="I31" s="4">
        <v>0</v>
      </c>
      <c r="J31" s="13">
        <f t="shared" si="1"/>
        <v>0</v>
      </c>
      <c r="K31" s="12">
        <f t="shared" si="2"/>
        <v>0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441.3599999999999</v>
      </c>
      <c r="F32" s="4">
        <f t="shared" si="0"/>
        <v>41.3599999999999</v>
      </c>
      <c r="G32" s="4">
        <v>0</v>
      </c>
      <c r="H32" s="4">
        <v>0</v>
      </c>
      <c r="I32" s="4">
        <v>0</v>
      </c>
      <c r="J32" s="13">
        <f t="shared" si="1"/>
        <v>0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441.3599999999999</v>
      </c>
      <c r="F33" s="4">
        <f t="shared" si="0"/>
        <v>41.3599999999999</v>
      </c>
      <c r="G33" s="4">
        <v>0</v>
      </c>
      <c r="H33" s="4">
        <v>0</v>
      </c>
      <c r="I33" s="4">
        <v>0</v>
      </c>
      <c r="J33" s="13">
        <f t="shared" si="1"/>
        <v>0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441.3599999999999</v>
      </c>
      <c r="F34" s="4">
        <f t="shared" si="0"/>
        <v>41.3599999999999</v>
      </c>
      <c r="G34" s="4">
        <v>0</v>
      </c>
      <c r="H34" s="4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441.3599999999999</v>
      </c>
      <c r="F35" s="4">
        <f t="shared" si="0"/>
        <v>41.3599999999999</v>
      </c>
      <c r="G35" s="4">
        <v>0</v>
      </c>
      <c r="H35" s="4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441.3599999999999</v>
      </c>
      <c r="F36" s="4">
        <f t="shared" si="0"/>
        <v>41.3599999999999</v>
      </c>
      <c r="G36" s="4">
        <v>0</v>
      </c>
      <c r="H36" s="4">
        <v>0</v>
      </c>
      <c r="I36" s="4">
        <v>0</v>
      </c>
      <c r="J36" s="13">
        <f t="shared" si="1"/>
        <v>0</v>
      </c>
      <c r="K36" s="12">
        <f t="shared" si="2"/>
        <v>0</v>
      </c>
    </row>
  </sheetData>
  <mergeCells count="1">
    <mergeCell ref="C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A3F-6131-4BD4-8B87-7B90FD2C590B}">
  <sheetPr>
    <tabColor rgb="FFFFFF99"/>
  </sheetPr>
  <dimension ref="B1:L39"/>
  <sheetViews>
    <sheetView workbookViewId="0">
      <selection activeCell="G18" sqref="G18"/>
    </sheetView>
  </sheetViews>
  <sheetFormatPr defaultColWidth="10.90625" defaultRowHeight="14.5" outlineLevelRow="1" x14ac:dyDescent="0.35"/>
  <cols>
    <col min="1" max="1" width="3.26953125" customWidth="1"/>
    <col min="2" max="2" width="13.26953125" customWidth="1"/>
    <col min="3" max="3" width="9" bestFit="1" customWidth="1"/>
    <col min="4" max="4" width="11.08984375" customWidth="1"/>
    <col min="5" max="7" width="10.36328125" bestFit="1" customWidth="1"/>
    <col min="8" max="8" width="10.90625" style="4"/>
    <col min="9" max="9" width="14.81640625" style="4" customWidth="1"/>
    <col min="10" max="10" width="15.08984375" style="13" customWidth="1"/>
    <col min="11" max="11" width="14.81640625" style="4" customWidth="1"/>
    <col min="12" max="12" width="23.36328125" style="30" customWidth="1"/>
  </cols>
  <sheetData>
    <row r="1" spans="2:12" outlineLevel="1" x14ac:dyDescent="0.35"/>
    <row r="2" spans="2:12" s="4" customFormat="1" outlineLevel="1" x14ac:dyDescent="0.35">
      <c r="C2" s="4">
        <v>150</v>
      </c>
      <c r="E2" s="4">
        <v>500</v>
      </c>
      <c r="J2" s="13"/>
      <c r="L2" s="31"/>
    </row>
    <row r="4" spans="2:12" s="3" customFormat="1" ht="28.5" customHeight="1" x14ac:dyDescent="0.35">
      <c r="C4" s="59" t="s">
        <v>5</v>
      </c>
      <c r="D4" s="59"/>
      <c r="E4" s="59"/>
      <c r="F4" s="59"/>
      <c r="G4" s="59"/>
      <c r="H4" s="59"/>
      <c r="I4" s="59"/>
      <c r="J4" s="59"/>
      <c r="K4" s="59"/>
      <c r="L4" s="59"/>
    </row>
    <row r="5" spans="2:12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35" t="s">
        <v>18</v>
      </c>
      <c r="I5" s="35" t="s">
        <v>17</v>
      </c>
      <c r="J5" s="36" t="s">
        <v>21</v>
      </c>
      <c r="K5" s="35" t="s">
        <v>19</v>
      </c>
      <c r="L5" s="3" t="s">
        <v>20</v>
      </c>
    </row>
    <row r="6" spans="2:12" s="3" customFormat="1" x14ac:dyDescent="0.35">
      <c r="C6" s="4">
        <v>150</v>
      </c>
      <c r="D6" s="6">
        <v>949.06</v>
      </c>
      <c r="E6" s="4">
        <f>500+234+4040</f>
        <v>4774</v>
      </c>
      <c r="F6" s="4">
        <f>+E6-$E$2-I6</f>
        <v>4274</v>
      </c>
      <c r="G6" s="6">
        <v>0</v>
      </c>
      <c r="H6" s="20">
        <v>949.06</v>
      </c>
      <c r="I6" s="20">
        <v>0</v>
      </c>
      <c r="J6" s="21">
        <f>D6-H6</f>
        <v>0</v>
      </c>
      <c r="K6" s="20">
        <f>H6-I6</f>
        <v>949.06</v>
      </c>
    </row>
    <row r="7" spans="2:12" x14ac:dyDescent="0.35">
      <c r="B7" s="1">
        <v>46174</v>
      </c>
      <c r="C7" s="4">
        <v>150</v>
      </c>
      <c r="D7" s="4">
        <v>1705.13</v>
      </c>
      <c r="E7" s="4">
        <f>+E6+D7-G6</f>
        <v>6479.13</v>
      </c>
      <c r="F7" s="4">
        <f t="shared" ref="F7:F37" si="0">+E7-$E$2-I7</f>
        <v>5979.13</v>
      </c>
      <c r="G7" s="6">
        <v>0</v>
      </c>
      <c r="H7" s="20">
        <v>1680.66</v>
      </c>
      <c r="I7" s="20">
        <v>0</v>
      </c>
      <c r="J7" s="21">
        <f t="shared" ref="J7:J37" si="1">D7-H7</f>
        <v>24.470000000000027</v>
      </c>
      <c r="K7" s="20">
        <f t="shared" ref="K7:K37" si="2">H7-I7</f>
        <v>1680.66</v>
      </c>
      <c r="L7" s="30" t="s">
        <v>23</v>
      </c>
    </row>
    <row r="8" spans="2:12" x14ac:dyDescent="0.35">
      <c r="B8" s="1">
        <v>46175</v>
      </c>
      <c r="C8" s="4">
        <v>150</v>
      </c>
      <c r="D8" s="4">
        <v>205.61</v>
      </c>
      <c r="E8" s="4">
        <f t="shared" ref="E8:E37" si="3">+E7+D8-G7</f>
        <v>6684.74</v>
      </c>
      <c r="F8" s="4">
        <f t="shared" si="0"/>
        <v>6184.74</v>
      </c>
      <c r="G8" s="6">
        <v>0</v>
      </c>
      <c r="H8" s="20">
        <v>207.36</v>
      </c>
      <c r="I8" s="20">
        <v>0</v>
      </c>
      <c r="J8" s="21">
        <f t="shared" si="1"/>
        <v>-1.75</v>
      </c>
      <c r="K8" s="20">
        <f t="shared" si="2"/>
        <v>207.36</v>
      </c>
      <c r="L8" s="37"/>
    </row>
    <row r="9" spans="2:12" x14ac:dyDescent="0.35">
      <c r="B9" s="1">
        <v>46176</v>
      </c>
      <c r="C9" s="4">
        <v>150</v>
      </c>
      <c r="D9" s="4">
        <v>193.45</v>
      </c>
      <c r="E9" s="4">
        <f t="shared" si="3"/>
        <v>6878.19</v>
      </c>
      <c r="F9" s="4">
        <f t="shared" si="0"/>
        <v>6378.19</v>
      </c>
      <c r="G9" s="6">
        <v>0</v>
      </c>
      <c r="H9" s="20">
        <v>192.35</v>
      </c>
      <c r="I9" s="20">
        <v>0</v>
      </c>
      <c r="J9" s="21">
        <f t="shared" si="1"/>
        <v>1.0999999999999943</v>
      </c>
      <c r="K9" s="20">
        <f t="shared" si="2"/>
        <v>192.35</v>
      </c>
      <c r="L9" s="37"/>
    </row>
    <row r="10" spans="2:12" x14ac:dyDescent="0.35">
      <c r="B10" s="1">
        <v>46177</v>
      </c>
      <c r="C10" s="4">
        <v>150</v>
      </c>
      <c r="D10" s="4">
        <v>180.13</v>
      </c>
      <c r="E10" s="4">
        <f t="shared" si="3"/>
        <v>7058.32</v>
      </c>
      <c r="F10" s="4">
        <f t="shared" si="0"/>
        <v>6550.32</v>
      </c>
      <c r="G10" s="26">
        <v>4195</v>
      </c>
      <c r="H10" s="20">
        <v>172.17</v>
      </c>
      <c r="I10" s="20">
        <v>8</v>
      </c>
      <c r="J10" s="21">
        <f t="shared" si="1"/>
        <v>7.960000000000008</v>
      </c>
      <c r="K10" s="20">
        <f t="shared" si="2"/>
        <v>164.17</v>
      </c>
      <c r="L10" s="30" t="s">
        <v>23</v>
      </c>
    </row>
    <row r="11" spans="2:12" x14ac:dyDescent="0.35">
      <c r="B11" s="1">
        <v>46178</v>
      </c>
      <c r="C11" s="4">
        <v>150</v>
      </c>
      <c r="D11" s="4">
        <v>198</v>
      </c>
      <c r="E11" s="4">
        <f t="shared" si="3"/>
        <v>3061.3199999999997</v>
      </c>
      <c r="F11" s="4">
        <f t="shared" si="0"/>
        <v>2561.3199999999997</v>
      </c>
      <c r="G11" s="6">
        <v>0</v>
      </c>
      <c r="H11" s="20">
        <v>0</v>
      </c>
      <c r="I11" s="20">
        <v>0</v>
      </c>
      <c r="J11" s="21">
        <f t="shared" si="1"/>
        <v>198</v>
      </c>
      <c r="K11" s="20">
        <f t="shared" si="2"/>
        <v>0</v>
      </c>
      <c r="L11" s="30" t="s">
        <v>22</v>
      </c>
    </row>
    <row r="12" spans="2:12" x14ac:dyDescent="0.35">
      <c r="B12" s="1">
        <v>46179</v>
      </c>
      <c r="C12" s="4">
        <v>150</v>
      </c>
      <c r="D12" s="4">
        <v>418.28</v>
      </c>
      <c r="E12" s="4">
        <f t="shared" si="3"/>
        <v>3479.5999999999995</v>
      </c>
      <c r="F12" s="4">
        <f t="shared" si="0"/>
        <v>2979.5999999999995</v>
      </c>
      <c r="G12" s="6">
        <v>0</v>
      </c>
      <c r="H12" s="20">
        <v>0</v>
      </c>
      <c r="I12" s="20">
        <v>0</v>
      </c>
      <c r="J12" s="21">
        <f t="shared" si="1"/>
        <v>418.28</v>
      </c>
      <c r="K12" s="20">
        <f t="shared" si="2"/>
        <v>0</v>
      </c>
      <c r="L12" s="30" t="s">
        <v>22</v>
      </c>
    </row>
    <row r="13" spans="2:12" x14ac:dyDescent="0.35">
      <c r="B13" s="1">
        <v>46180</v>
      </c>
      <c r="C13" s="4">
        <v>150</v>
      </c>
      <c r="D13" s="4">
        <v>137.26</v>
      </c>
      <c r="E13" s="4">
        <f t="shared" si="3"/>
        <v>3616.8599999999997</v>
      </c>
      <c r="F13" s="4">
        <f t="shared" si="0"/>
        <v>3116.8599999999997</v>
      </c>
      <c r="G13" s="6">
        <v>0</v>
      </c>
      <c r="H13" s="20">
        <v>0</v>
      </c>
      <c r="I13" s="20">
        <v>0</v>
      </c>
      <c r="J13" s="21">
        <f t="shared" si="1"/>
        <v>137.26</v>
      </c>
      <c r="K13" s="20">
        <f t="shared" si="2"/>
        <v>0</v>
      </c>
      <c r="L13" s="30" t="s">
        <v>22</v>
      </c>
    </row>
    <row r="14" spans="2:12" x14ac:dyDescent="0.35">
      <c r="B14" s="1">
        <v>46181</v>
      </c>
      <c r="C14" s="4">
        <v>150</v>
      </c>
      <c r="D14" s="4">
        <v>232.4</v>
      </c>
      <c r="E14" s="4">
        <f t="shared" si="3"/>
        <v>3849.2599999999998</v>
      </c>
      <c r="F14" s="4">
        <f t="shared" si="0"/>
        <v>3349.2599999999998</v>
      </c>
      <c r="G14" s="6">
        <v>0</v>
      </c>
      <c r="H14" s="20">
        <v>0</v>
      </c>
      <c r="I14" s="20">
        <v>0</v>
      </c>
      <c r="J14" s="21">
        <f t="shared" si="1"/>
        <v>232.4</v>
      </c>
      <c r="K14" s="20">
        <f t="shared" si="2"/>
        <v>0</v>
      </c>
      <c r="L14" s="30" t="s">
        <v>22</v>
      </c>
    </row>
    <row r="15" spans="2:12" x14ac:dyDescent="0.35">
      <c r="B15" s="1">
        <v>46182</v>
      </c>
      <c r="C15" s="4">
        <v>150</v>
      </c>
      <c r="D15" s="4">
        <v>395.29</v>
      </c>
      <c r="E15" s="4">
        <f t="shared" si="3"/>
        <v>4244.55</v>
      </c>
      <c r="F15" s="4">
        <f t="shared" si="0"/>
        <v>3744.55</v>
      </c>
      <c r="G15" s="6">
        <v>0</v>
      </c>
      <c r="H15" s="20">
        <v>0</v>
      </c>
      <c r="I15" s="20">
        <v>0</v>
      </c>
      <c r="J15" s="21">
        <f t="shared" si="1"/>
        <v>395.29</v>
      </c>
      <c r="K15" s="20">
        <f t="shared" si="2"/>
        <v>0</v>
      </c>
      <c r="L15" s="30" t="s">
        <v>22</v>
      </c>
    </row>
    <row r="16" spans="2:12" x14ac:dyDescent="0.35">
      <c r="B16" s="1">
        <v>46183</v>
      </c>
      <c r="C16" s="4">
        <v>150</v>
      </c>
      <c r="D16" s="4">
        <v>253.55</v>
      </c>
      <c r="E16" s="4">
        <f t="shared" si="3"/>
        <v>4498.1000000000004</v>
      </c>
      <c r="F16" s="4">
        <f t="shared" si="0"/>
        <v>3998.1000000000004</v>
      </c>
      <c r="G16" s="6">
        <v>0</v>
      </c>
      <c r="H16" s="20">
        <v>0</v>
      </c>
      <c r="I16" s="20">
        <v>0</v>
      </c>
      <c r="J16" s="21">
        <f t="shared" si="1"/>
        <v>253.55</v>
      </c>
      <c r="K16" s="20">
        <f t="shared" si="2"/>
        <v>0</v>
      </c>
      <c r="L16" s="30" t="s">
        <v>22</v>
      </c>
    </row>
    <row r="17" spans="2:12" x14ac:dyDescent="0.35">
      <c r="B17" s="1">
        <v>46184</v>
      </c>
      <c r="C17" s="4">
        <v>150</v>
      </c>
      <c r="D17" s="4">
        <v>229.2</v>
      </c>
      <c r="E17" s="4">
        <f t="shared" si="3"/>
        <v>4727.3</v>
      </c>
      <c r="F17" s="4">
        <f t="shared" si="0"/>
        <v>4227.3</v>
      </c>
      <c r="G17" s="6">
        <v>0</v>
      </c>
      <c r="H17" s="20">
        <v>0</v>
      </c>
      <c r="I17" s="20">
        <v>0</v>
      </c>
      <c r="J17" s="21">
        <f t="shared" si="1"/>
        <v>229.2</v>
      </c>
      <c r="K17" s="20">
        <f t="shared" si="2"/>
        <v>0</v>
      </c>
      <c r="L17" s="30" t="s">
        <v>22</v>
      </c>
    </row>
    <row r="18" spans="2:12" x14ac:dyDescent="0.35">
      <c r="B18" s="1">
        <v>46185</v>
      </c>
      <c r="C18" s="4">
        <v>150</v>
      </c>
      <c r="D18" s="4">
        <v>416.21</v>
      </c>
      <c r="E18" s="4">
        <f t="shared" si="3"/>
        <v>5143.51</v>
      </c>
      <c r="F18" s="4">
        <f t="shared" si="0"/>
        <v>4643.51</v>
      </c>
      <c r="G18" s="26">
        <v>2075</v>
      </c>
      <c r="H18" s="20">
        <v>0</v>
      </c>
      <c r="I18" s="20">
        <v>0</v>
      </c>
      <c r="J18" s="21">
        <f t="shared" si="1"/>
        <v>416.21</v>
      </c>
      <c r="K18" s="20">
        <f t="shared" si="2"/>
        <v>0</v>
      </c>
      <c r="L18" s="30" t="s">
        <v>22</v>
      </c>
    </row>
    <row r="19" spans="2:12" x14ac:dyDescent="0.35">
      <c r="B19" s="1">
        <v>46186</v>
      </c>
      <c r="C19" s="4">
        <v>150</v>
      </c>
      <c r="D19" s="4">
        <v>361.13</v>
      </c>
      <c r="E19" s="4">
        <f t="shared" si="3"/>
        <v>3429.6400000000003</v>
      </c>
      <c r="F19" s="4">
        <f t="shared" si="0"/>
        <v>2929.6400000000003</v>
      </c>
      <c r="G19" s="6">
        <v>0</v>
      </c>
      <c r="H19" s="20">
        <v>0</v>
      </c>
      <c r="I19" s="20">
        <v>0</v>
      </c>
      <c r="J19" s="21">
        <f t="shared" si="1"/>
        <v>361.13</v>
      </c>
      <c r="K19" s="20">
        <f t="shared" si="2"/>
        <v>0</v>
      </c>
      <c r="L19" s="30" t="s">
        <v>22</v>
      </c>
    </row>
    <row r="20" spans="2:12" x14ac:dyDescent="0.35">
      <c r="B20" s="1">
        <v>46187</v>
      </c>
      <c r="C20" s="4">
        <v>150</v>
      </c>
      <c r="D20" s="4">
        <v>340.35</v>
      </c>
      <c r="E20" s="4">
        <f t="shared" si="3"/>
        <v>3769.9900000000002</v>
      </c>
      <c r="F20" s="4">
        <f t="shared" si="0"/>
        <v>3269.9900000000002</v>
      </c>
      <c r="G20" s="6">
        <v>0</v>
      </c>
      <c r="H20" s="20">
        <v>0</v>
      </c>
      <c r="I20" s="20">
        <v>0</v>
      </c>
      <c r="J20" s="21">
        <f t="shared" si="1"/>
        <v>340.35</v>
      </c>
      <c r="K20" s="20">
        <f t="shared" si="2"/>
        <v>0</v>
      </c>
      <c r="L20" s="30" t="s">
        <v>22</v>
      </c>
    </row>
    <row r="21" spans="2:12" x14ac:dyDescent="0.35">
      <c r="B21" s="1">
        <v>46188</v>
      </c>
      <c r="C21" s="4">
        <v>150</v>
      </c>
      <c r="D21" s="4">
        <v>0</v>
      </c>
      <c r="E21" s="4">
        <f t="shared" si="3"/>
        <v>3769.9900000000002</v>
      </c>
      <c r="F21" s="4">
        <f t="shared" si="0"/>
        <v>3269.9900000000002</v>
      </c>
      <c r="G21" s="6">
        <v>0</v>
      </c>
      <c r="H21" s="20">
        <v>0</v>
      </c>
      <c r="I21" s="20">
        <v>0</v>
      </c>
      <c r="J21" s="21">
        <f t="shared" si="1"/>
        <v>0</v>
      </c>
      <c r="K21" s="20">
        <f t="shared" si="2"/>
        <v>0</v>
      </c>
    </row>
    <row r="22" spans="2:12" x14ac:dyDescent="0.35">
      <c r="B22" s="1">
        <v>46189</v>
      </c>
      <c r="C22" s="4">
        <v>150</v>
      </c>
      <c r="D22" s="4">
        <v>0</v>
      </c>
      <c r="E22" s="4">
        <f t="shared" si="3"/>
        <v>3769.9900000000002</v>
      </c>
      <c r="F22" s="4">
        <f t="shared" si="0"/>
        <v>3269.9900000000002</v>
      </c>
      <c r="G22" s="6">
        <v>0</v>
      </c>
      <c r="H22" s="20">
        <v>0</v>
      </c>
      <c r="I22" s="20">
        <v>0</v>
      </c>
      <c r="J22" s="21">
        <f t="shared" si="1"/>
        <v>0</v>
      </c>
      <c r="K22" s="20">
        <f t="shared" si="2"/>
        <v>0</v>
      </c>
    </row>
    <row r="23" spans="2:12" x14ac:dyDescent="0.35">
      <c r="B23" s="1">
        <v>46190</v>
      </c>
      <c r="C23" s="4">
        <v>150</v>
      </c>
      <c r="D23" s="4">
        <v>0</v>
      </c>
      <c r="E23" s="4">
        <f t="shared" si="3"/>
        <v>3769.9900000000002</v>
      </c>
      <c r="F23" s="4">
        <f t="shared" si="0"/>
        <v>3269.9900000000002</v>
      </c>
      <c r="G23" s="6">
        <v>0</v>
      </c>
      <c r="H23" s="20">
        <v>0</v>
      </c>
      <c r="I23" s="20">
        <v>0</v>
      </c>
      <c r="J23" s="21">
        <f t="shared" si="1"/>
        <v>0</v>
      </c>
      <c r="K23" s="20">
        <f t="shared" si="2"/>
        <v>0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3769.9900000000002</v>
      </c>
      <c r="F24" s="4">
        <f t="shared" si="0"/>
        <v>3269.9900000000002</v>
      </c>
      <c r="G24" s="6">
        <v>0</v>
      </c>
      <c r="H24" s="20">
        <v>0</v>
      </c>
      <c r="I24" s="20">
        <v>0</v>
      </c>
      <c r="J24" s="21">
        <f t="shared" si="1"/>
        <v>0</v>
      </c>
      <c r="K24" s="20">
        <f t="shared" si="2"/>
        <v>0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3769.9900000000002</v>
      </c>
      <c r="F25" s="4">
        <f t="shared" si="0"/>
        <v>3269.9900000000002</v>
      </c>
      <c r="G25" s="6">
        <v>0</v>
      </c>
      <c r="H25" s="20">
        <v>0</v>
      </c>
      <c r="I25" s="20">
        <v>0</v>
      </c>
      <c r="J25" s="21">
        <f t="shared" si="1"/>
        <v>0</v>
      </c>
      <c r="K25" s="20">
        <f t="shared" si="2"/>
        <v>0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3769.9900000000002</v>
      </c>
      <c r="F26" s="4">
        <f t="shared" si="0"/>
        <v>3269.9900000000002</v>
      </c>
      <c r="G26" s="6">
        <v>0</v>
      </c>
      <c r="H26" s="20">
        <v>0</v>
      </c>
      <c r="I26" s="20">
        <v>0</v>
      </c>
      <c r="J26" s="21">
        <f t="shared" si="1"/>
        <v>0</v>
      </c>
      <c r="K26" s="20">
        <f t="shared" si="2"/>
        <v>0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3769.9900000000002</v>
      </c>
      <c r="F27" s="4">
        <f t="shared" si="0"/>
        <v>3269.9900000000002</v>
      </c>
      <c r="G27" s="6">
        <v>0</v>
      </c>
      <c r="H27" s="20">
        <v>0</v>
      </c>
      <c r="I27" s="20">
        <v>0</v>
      </c>
      <c r="J27" s="21">
        <f t="shared" si="1"/>
        <v>0</v>
      </c>
      <c r="K27" s="20">
        <f t="shared" si="2"/>
        <v>0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3769.9900000000002</v>
      </c>
      <c r="F28" s="4">
        <f t="shared" si="0"/>
        <v>3269.9900000000002</v>
      </c>
      <c r="G28" s="6">
        <v>0</v>
      </c>
      <c r="H28" s="20">
        <v>0</v>
      </c>
      <c r="I28" s="20">
        <v>0</v>
      </c>
      <c r="J28" s="21">
        <f t="shared" si="1"/>
        <v>0</v>
      </c>
      <c r="K28" s="20">
        <f t="shared" si="2"/>
        <v>0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3769.9900000000002</v>
      </c>
      <c r="F29" s="4">
        <f t="shared" si="0"/>
        <v>3269.9900000000002</v>
      </c>
      <c r="G29" s="6">
        <v>0</v>
      </c>
      <c r="H29" s="20">
        <v>0</v>
      </c>
      <c r="I29" s="20">
        <v>0</v>
      </c>
      <c r="J29" s="21">
        <f t="shared" si="1"/>
        <v>0</v>
      </c>
      <c r="K29" s="20">
        <f t="shared" si="2"/>
        <v>0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3769.9900000000002</v>
      </c>
      <c r="F30" s="4">
        <f t="shared" si="0"/>
        <v>3269.9900000000002</v>
      </c>
      <c r="G30" s="6">
        <v>0</v>
      </c>
      <c r="H30" s="20">
        <v>0</v>
      </c>
      <c r="I30" s="20">
        <v>0</v>
      </c>
      <c r="J30" s="21">
        <f t="shared" si="1"/>
        <v>0</v>
      </c>
      <c r="K30" s="20">
        <f t="shared" si="2"/>
        <v>0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3769.9900000000002</v>
      </c>
      <c r="F31" s="4">
        <f t="shared" si="0"/>
        <v>3269.9900000000002</v>
      </c>
      <c r="G31" s="6">
        <v>0</v>
      </c>
      <c r="H31" s="20">
        <v>0</v>
      </c>
      <c r="I31" s="20">
        <v>0</v>
      </c>
      <c r="J31" s="21">
        <f t="shared" si="1"/>
        <v>0</v>
      </c>
      <c r="K31" s="20">
        <f t="shared" si="2"/>
        <v>0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3769.9900000000002</v>
      </c>
      <c r="F32" s="4">
        <f t="shared" si="0"/>
        <v>3269.9900000000002</v>
      </c>
      <c r="G32" s="6">
        <v>0</v>
      </c>
      <c r="H32" s="20">
        <v>0</v>
      </c>
      <c r="I32" s="20">
        <v>0</v>
      </c>
      <c r="J32" s="21">
        <f t="shared" si="1"/>
        <v>0</v>
      </c>
      <c r="K32" s="20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3769.9900000000002</v>
      </c>
      <c r="F33" s="4">
        <f t="shared" si="0"/>
        <v>3269.9900000000002</v>
      </c>
      <c r="G33" s="6">
        <v>0</v>
      </c>
      <c r="H33" s="20">
        <v>0</v>
      </c>
      <c r="I33" s="20">
        <v>0</v>
      </c>
      <c r="J33" s="21">
        <f t="shared" si="1"/>
        <v>0</v>
      </c>
      <c r="K33" s="20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3769.9900000000002</v>
      </c>
      <c r="F34" s="4">
        <f t="shared" si="0"/>
        <v>3269.9900000000002</v>
      </c>
      <c r="G34" s="6">
        <v>0</v>
      </c>
      <c r="H34" s="20">
        <v>0</v>
      </c>
      <c r="I34" s="20">
        <v>0</v>
      </c>
      <c r="J34" s="21">
        <f t="shared" si="1"/>
        <v>0</v>
      </c>
      <c r="K34" s="20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3769.9900000000002</v>
      </c>
      <c r="F35" s="4">
        <f t="shared" si="0"/>
        <v>3269.9900000000002</v>
      </c>
      <c r="G35" s="6">
        <v>0</v>
      </c>
      <c r="H35" s="20">
        <v>0</v>
      </c>
      <c r="I35" s="20">
        <v>0</v>
      </c>
      <c r="J35" s="21">
        <f t="shared" si="1"/>
        <v>0</v>
      </c>
      <c r="K35" s="20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3769.9900000000002</v>
      </c>
      <c r="F36" s="4">
        <f t="shared" si="0"/>
        <v>3269.9900000000002</v>
      </c>
      <c r="G36" s="6">
        <v>0</v>
      </c>
      <c r="H36" s="20">
        <v>0</v>
      </c>
      <c r="I36" s="20">
        <v>0</v>
      </c>
      <c r="J36" s="21">
        <f t="shared" si="1"/>
        <v>0</v>
      </c>
      <c r="K36" s="20">
        <f t="shared" si="2"/>
        <v>0</v>
      </c>
    </row>
    <row r="37" spans="2:11" x14ac:dyDescent="0.35">
      <c r="B37" s="1">
        <v>46204</v>
      </c>
      <c r="C37" s="4">
        <v>150</v>
      </c>
      <c r="D37" s="4">
        <v>0</v>
      </c>
      <c r="E37" s="4">
        <f t="shared" si="3"/>
        <v>3769.9900000000002</v>
      </c>
      <c r="F37" s="4">
        <f t="shared" si="0"/>
        <v>3269.9900000000002</v>
      </c>
      <c r="G37" s="6">
        <v>0</v>
      </c>
      <c r="H37" s="20">
        <v>0</v>
      </c>
      <c r="I37" s="20">
        <v>0</v>
      </c>
      <c r="J37" s="21">
        <f t="shared" si="1"/>
        <v>0</v>
      </c>
      <c r="K37" s="20">
        <f t="shared" si="2"/>
        <v>0</v>
      </c>
    </row>
    <row r="38" spans="2:11" x14ac:dyDescent="0.35">
      <c r="H38" s="22"/>
      <c r="I38" s="22"/>
      <c r="K38" s="22"/>
    </row>
    <row r="39" spans="2:11" x14ac:dyDescent="0.35">
      <c r="H39" s="22"/>
      <c r="I39" s="22"/>
      <c r="K39" s="22"/>
    </row>
  </sheetData>
  <mergeCells count="1">
    <mergeCell ref="C4:L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EA1B-FE3F-4BA7-8565-604D53F825D8}">
  <sheetPr>
    <tabColor rgb="FFC00000"/>
  </sheetPr>
  <dimension ref="B1:M36"/>
  <sheetViews>
    <sheetView topLeftCell="A11" workbookViewId="0">
      <selection activeCell="H32" sqref="H32:H33"/>
    </sheetView>
  </sheetViews>
  <sheetFormatPr defaultColWidth="10.90625" defaultRowHeight="14.5" outlineLevelRow="1" x14ac:dyDescent="0.35"/>
  <cols>
    <col min="1" max="1" width="3.26953125" customWidth="1"/>
    <col min="2" max="2" width="11.81640625" customWidth="1"/>
    <col min="3" max="3" width="9" bestFit="1" customWidth="1"/>
    <col min="4" max="4" width="9" customWidth="1"/>
    <col min="5" max="5" width="11" customWidth="1"/>
    <col min="6" max="6" width="14.6328125" customWidth="1"/>
    <col min="7" max="7" width="11" customWidth="1"/>
    <col min="8" max="8" width="13.1796875" style="4" customWidth="1"/>
    <col min="9" max="9" width="17.08984375" style="4" customWidth="1"/>
    <col min="10" max="10" width="15.7265625" style="13" customWidth="1"/>
    <col min="11" max="11" width="15.453125" customWidth="1"/>
    <col min="12" max="12" width="17.6328125" style="30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J2" s="13"/>
      <c r="L2" s="31"/>
    </row>
    <row r="3" spans="2:13" collapsed="1" x14ac:dyDescent="0.35"/>
    <row r="4" spans="2:13" s="3" customFormat="1" ht="25" customHeight="1" x14ac:dyDescent="0.35">
      <c r="C4" s="60" t="s">
        <v>6</v>
      </c>
      <c r="D4" s="60"/>
      <c r="E4" s="60"/>
      <c r="F4" s="60"/>
      <c r="G4" s="60"/>
      <c r="H4" s="60"/>
      <c r="I4" s="60"/>
      <c r="J4" s="60"/>
      <c r="K4" s="60"/>
      <c r="L4" s="60"/>
    </row>
    <row r="5" spans="2:13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</row>
    <row r="6" spans="2:13" x14ac:dyDescent="0.35">
      <c r="B6" s="1">
        <v>46173</v>
      </c>
      <c r="C6" s="4">
        <v>150</v>
      </c>
      <c r="D6" s="4">
        <v>56.5</v>
      </c>
      <c r="E6" s="4">
        <v>803.5</v>
      </c>
      <c r="F6" s="4">
        <f>+E6-$E$2-I6</f>
        <v>403.5</v>
      </c>
      <c r="G6" s="4">
        <v>0</v>
      </c>
      <c r="H6" s="18">
        <v>56.5</v>
      </c>
      <c r="I6" s="4">
        <v>0</v>
      </c>
      <c r="J6" s="13">
        <f>D6-H6</f>
        <v>0</v>
      </c>
      <c r="K6" s="12">
        <f>H6-I6</f>
        <v>56.5</v>
      </c>
    </row>
    <row r="7" spans="2:13" x14ac:dyDescent="0.35">
      <c r="B7" s="1">
        <v>46174</v>
      </c>
      <c r="C7" s="4">
        <v>150</v>
      </c>
      <c r="D7" s="4">
        <v>70.400000000000006</v>
      </c>
      <c r="E7" s="4">
        <f>+E6+D7-G6</f>
        <v>873.9</v>
      </c>
      <c r="F7" s="4">
        <f t="shared" ref="F7:F36" si="0">+E7-$E$2-I7</f>
        <v>473.9</v>
      </c>
      <c r="G7" s="25">
        <v>403.5</v>
      </c>
      <c r="H7" s="18">
        <v>60.4</v>
      </c>
      <c r="I7" s="4">
        <v>0</v>
      </c>
      <c r="J7" s="13">
        <f t="shared" ref="J7:J36" si="1">D7-H7</f>
        <v>10.000000000000007</v>
      </c>
      <c r="K7" s="12">
        <f t="shared" ref="K7:K36" si="2">H7-I7</f>
        <v>60.4</v>
      </c>
      <c r="L7" s="30" t="s">
        <v>23</v>
      </c>
      <c r="M7" t="s">
        <v>38</v>
      </c>
    </row>
    <row r="8" spans="2:13" x14ac:dyDescent="0.35">
      <c r="B8" s="1">
        <v>46175</v>
      </c>
      <c r="C8" s="4">
        <v>150</v>
      </c>
      <c r="D8" s="4">
        <v>79.45</v>
      </c>
      <c r="E8" s="4">
        <f t="shared" ref="E8:E36" si="3">+E7+D8-G7</f>
        <v>549.85</v>
      </c>
      <c r="F8" s="4">
        <f t="shared" si="0"/>
        <v>149.85000000000002</v>
      </c>
      <c r="G8" s="4">
        <v>0</v>
      </c>
      <c r="H8" s="18">
        <v>79.489999999999995</v>
      </c>
      <c r="I8" s="4">
        <v>0</v>
      </c>
      <c r="J8" s="13">
        <f t="shared" si="1"/>
        <v>-3.9999999999992042E-2</v>
      </c>
      <c r="K8" s="12">
        <f t="shared" si="2"/>
        <v>79.489999999999995</v>
      </c>
    </row>
    <row r="9" spans="2:13" x14ac:dyDescent="0.35">
      <c r="B9" s="1">
        <v>46176</v>
      </c>
      <c r="C9" s="4">
        <v>150</v>
      </c>
      <c r="D9" s="4">
        <v>83.9</v>
      </c>
      <c r="E9" s="4">
        <f t="shared" si="3"/>
        <v>633.75</v>
      </c>
      <c r="F9" s="4">
        <f t="shared" si="0"/>
        <v>233.75</v>
      </c>
      <c r="G9" s="4">
        <v>0</v>
      </c>
      <c r="H9" s="18">
        <v>83.9</v>
      </c>
      <c r="I9" s="4">
        <v>0</v>
      </c>
      <c r="J9" s="13">
        <f t="shared" si="1"/>
        <v>0</v>
      </c>
      <c r="K9" s="12">
        <f t="shared" si="2"/>
        <v>83.9</v>
      </c>
    </row>
    <row r="10" spans="2:13" x14ac:dyDescent="0.35">
      <c r="B10" s="1">
        <v>46177</v>
      </c>
      <c r="C10" s="4">
        <v>150</v>
      </c>
      <c r="D10" s="4">
        <v>41.6</v>
      </c>
      <c r="E10" s="4">
        <f t="shared" si="3"/>
        <v>675.35</v>
      </c>
      <c r="F10" s="4">
        <f t="shared" si="0"/>
        <v>275.35000000000002</v>
      </c>
      <c r="G10" s="4">
        <v>0</v>
      </c>
      <c r="H10" s="18">
        <v>41.6</v>
      </c>
      <c r="I10" s="4">
        <v>0</v>
      </c>
      <c r="J10" s="13">
        <f t="shared" si="1"/>
        <v>0</v>
      </c>
      <c r="K10" s="12">
        <f t="shared" si="2"/>
        <v>41.6</v>
      </c>
    </row>
    <row r="11" spans="2:13" x14ac:dyDescent="0.35">
      <c r="B11" s="1">
        <v>46178</v>
      </c>
      <c r="C11" s="4">
        <v>150</v>
      </c>
      <c r="D11" s="4">
        <v>87.96</v>
      </c>
      <c r="E11" s="4">
        <f t="shared" si="3"/>
        <v>763.31000000000006</v>
      </c>
      <c r="F11" s="4">
        <f t="shared" si="0"/>
        <v>363.31000000000006</v>
      </c>
      <c r="G11" s="25">
        <v>262.35000000000002</v>
      </c>
      <c r="H11" s="18">
        <v>87.96</v>
      </c>
      <c r="I11" s="4">
        <v>0</v>
      </c>
      <c r="J11" s="13">
        <f t="shared" si="1"/>
        <v>0</v>
      </c>
      <c r="K11" s="12">
        <f t="shared" si="2"/>
        <v>87.96</v>
      </c>
    </row>
    <row r="12" spans="2:13" x14ac:dyDescent="0.35">
      <c r="B12" s="1">
        <v>46179</v>
      </c>
      <c r="C12" s="4">
        <v>150</v>
      </c>
      <c r="D12" s="4">
        <v>100.98</v>
      </c>
      <c r="E12" s="4">
        <f t="shared" si="3"/>
        <v>601.94000000000005</v>
      </c>
      <c r="F12" s="4">
        <f t="shared" si="0"/>
        <v>201.94000000000005</v>
      </c>
      <c r="G12" s="4">
        <v>0</v>
      </c>
      <c r="H12" s="18">
        <v>100.98</v>
      </c>
      <c r="I12" s="4">
        <v>0</v>
      </c>
      <c r="J12" s="13">
        <f t="shared" si="1"/>
        <v>0</v>
      </c>
      <c r="K12" s="12">
        <f t="shared" si="2"/>
        <v>100.98</v>
      </c>
    </row>
    <row r="13" spans="2:13" x14ac:dyDescent="0.35">
      <c r="B13" s="1">
        <v>46180</v>
      </c>
      <c r="C13" s="4">
        <v>150</v>
      </c>
      <c r="D13" s="4">
        <v>36.700000000000003</v>
      </c>
      <c r="E13" s="4">
        <f t="shared" si="3"/>
        <v>638.6400000000001</v>
      </c>
      <c r="F13" s="4">
        <f t="shared" si="0"/>
        <v>238.6400000000001</v>
      </c>
      <c r="G13" s="4">
        <v>0</v>
      </c>
      <c r="H13" s="18">
        <v>36.700000000000003</v>
      </c>
      <c r="I13" s="4">
        <v>0</v>
      </c>
      <c r="J13" s="13">
        <f t="shared" si="1"/>
        <v>0</v>
      </c>
      <c r="K13" s="12">
        <f t="shared" si="2"/>
        <v>36.700000000000003</v>
      </c>
    </row>
    <row r="14" spans="2:13" x14ac:dyDescent="0.35">
      <c r="B14" s="1">
        <v>46181</v>
      </c>
      <c r="C14" s="4">
        <v>150</v>
      </c>
      <c r="D14" s="4">
        <v>11.9</v>
      </c>
      <c r="E14" s="4">
        <f t="shared" si="3"/>
        <v>650.54000000000008</v>
      </c>
      <c r="F14" s="4">
        <f t="shared" si="0"/>
        <v>250.54000000000008</v>
      </c>
      <c r="G14" s="25">
        <v>237.38</v>
      </c>
      <c r="H14" s="18">
        <v>11.7</v>
      </c>
      <c r="I14" s="4">
        <v>0</v>
      </c>
      <c r="J14" s="13">
        <f t="shared" si="1"/>
        <v>0.20000000000000107</v>
      </c>
      <c r="K14" s="12">
        <f t="shared" si="2"/>
        <v>11.7</v>
      </c>
    </row>
    <row r="15" spans="2:13" x14ac:dyDescent="0.35">
      <c r="B15" s="1">
        <v>46182</v>
      </c>
      <c r="C15" s="4">
        <v>150</v>
      </c>
      <c r="D15" s="4">
        <v>15.9</v>
      </c>
      <c r="E15" s="4">
        <f t="shared" si="3"/>
        <v>429.06000000000006</v>
      </c>
      <c r="F15" s="4">
        <f t="shared" si="0"/>
        <v>29.060000000000059</v>
      </c>
      <c r="G15" s="4">
        <v>0</v>
      </c>
      <c r="H15" s="18">
        <v>13.7</v>
      </c>
      <c r="I15" s="4">
        <v>0</v>
      </c>
      <c r="J15" s="13">
        <f t="shared" si="1"/>
        <v>2.2000000000000011</v>
      </c>
      <c r="K15" s="12">
        <f t="shared" si="2"/>
        <v>13.7</v>
      </c>
    </row>
    <row r="16" spans="2:13" x14ac:dyDescent="0.35">
      <c r="B16" s="1">
        <v>46183</v>
      </c>
      <c r="C16" s="4">
        <v>150</v>
      </c>
      <c r="D16" s="4">
        <v>33.75</v>
      </c>
      <c r="E16" s="4">
        <f t="shared" si="3"/>
        <v>462.81000000000006</v>
      </c>
      <c r="F16" s="4">
        <f t="shared" si="0"/>
        <v>62.810000000000059</v>
      </c>
      <c r="G16" s="4">
        <v>0</v>
      </c>
      <c r="H16" s="18">
        <v>33.75</v>
      </c>
      <c r="I16" s="4">
        <v>0</v>
      </c>
      <c r="J16" s="13">
        <f t="shared" si="1"/>
        <v>0</v>
      </c>
      <c r="K16" s="12">
        <f t="shared" si="2"/>
        <v>33.75</v>
      </c>
    </row>
    <row r="17" spans="2:11" x14ac:dyDescent="0.35">
      <c r="B17" s="1">
        <v>46184</v>
      </c>
      <c r="C17" s="4">
        <v>150</v>
      </c>
      <c r="D17" s="4">
        <v>74.349999999999994</v>
      </c>
      <c r="E17" s="4">
        <f t="shared" si="3"/>
        <v>537.16000000000008</v>
      </c>
      <c r="F17" s="4">
        <f t="shared" si="0"/>
        <v>122.16000000000008</v>
      </c>
      <c r="G17" s="4">
        <v>0</v>
      </c>
      <c r="H17" s="18">
        <v>74.349999999999994</v>
      </c>
      <c r="I17" s="4">
        <v>15</v>
      </c>
      <c r="J17" s="13">
        <f t="shared" si="1"/>
        <v>0</v>
      </c>
      <c r="K17" s="12">
        <f t="shared" si="2"/>
        <v>59.349999999999994</v>
      </c>
    </row>
    <row r="18" spans="2:11" x14ac:dyDescent="0.35">
      <c r="B18" s="1">
        <v>46185</v>
      </c>
      <c r="C18" s="4">
        <v>150</v>
      </c>
      <c r="D18" s="4">
        <v>24.85</v>
      </c>
      <c r="E18" s="4">
        <f t="shared" si="3"/>
        <v>562.0100000000001</v>
      </c>
      <c r="F18" s="4">
        <f t="shared" si="0"/>
        <v>162.0100000000001</v>
      </c>
      <c r="G18" s="4">
        <v>0</v>
      </c>
      <c r="H18" s="18">
        <v>24.85</v>
      </c>
      <c r="I18" s="4">
        <v>0</v>
      </c>
      <c r="J18" s="13">
        <f t="shared" si="1"/>
        <v>0</v>
      </c>
      <c r="K18" s="12">
        <f t="shared" si="2"/>
        <v>24.85</v>
      </c>
    </row>
    <row r="19" spans="2:11" x14ac:dyDescent="0.35">
      <c r="B19" s="1">
        <v>46186</v>
      </c>
      <c r="C19" s="4">
        <v>150</v>
      </c>
      <c r="D19" s="4">
        <v>59.49</v>
      </c>
      <c r="E19" s="4">
        <f t="shared" si="3"/>
        <v>621.50000000000011</v>
      </c>
      <c r="F19" s="4">
        <f t="shared" si="0"/>
        <v>221.50000000000011</v>
      </c>
      <c r="G19" s="4">
        <v>0</v>
      </c>
      <c r="H19" s="18">
        <v>59.49</v>
      </c>
      <c r="I19" s="4">
        <v>0</v>
      </c>
      <c r="J19" s="13">
        <f t="shared" si="1"/>
        <v>0</v>
      </c>
      <c r="K19" s="12">
        <f t="shared" si="2"/>
        <v>59.49</v>
      </c>
    </row>
    <row r="20" spans="2:11" x14ac:dyDescent="0.35">
      <c r="B20" s="1">
        <v>46187</v>
      </c>
      <c r="C20" s="4">
        <v>150</v>
      </c>
      <c r="D20" s="4">
        <v>11.9</v>
      </c>
      <c r="E20" s="4">
        <f t="shared" si="3"/>
        <v>633.40000000000009</v>
      </c>
      <c r="F20" s="4">
        <f t="shared" si="0"/>
        <v>233.40000000000009</v>
      </c>
      <c r="G20" s="4">
        <v>0</v>
      </c>
      <c r="H20" s="18">
        <v>11.9</v>
      </c>
      <c r="I20" s="4">
        <v>0</v>
      </c>
      <c r="J20" s="13">
        <f t="shared" si="1"/>
        <v>0</v>
      </c>
      <c r="K20" s="12">
        <f t="shared" si="2"/>
        <v>11.9</v>
      </c>
    </row>
    <row r="21" spans="2:11" x14ac:dyDescent="0.35">
      <c r="B21" s="1">
        <v>46188</v>
      </c>
      <c r="C21" s="4">
        <v>150</v>
      </c>
      <c r="D21" s="4">
        <v>107.15</v>
      </c>
      <c r="E21" s="4">
        <f t="shared" si="3"/>
        <v>740.55000000000007</v>
      </c>
      <c r="F21" s="4">
        <f t="shared" si="0"/>
        <v>340.55000000000007</v>
      </c>
      <c r="G21" s="4">
        <v>0</v>
      </c>
      <c r="H21" s="18">
        <v>107.15</v>
      </c>
      <c r="I21" s="4">
        <v>0</v>
      </c>
      <c r="J21" s="13">
        <f t="shared" si="1"/>
        <v>0</v>
      </c>
      <c r="K21" s="12">
        <f t="shared" si="2"/>
        <v>107.15</v>
      </c>
    </row>
    <row r="22" spans="2:11" x14ac:dyDescent="0.35">
      <c r="B22" s="1">
        <v>46189</v>
      </c>
      <c r="C22" s="4">
        <v>150</v>
      </c>
      <c r="D22" s="4">
        <v>22.85</v>
      </c>
      <c r="E22" s="4">
        <f t="shared" si="3"/>
        <v>763.40000000000009</v>
      </c>
      <c r="F22" s="4">
        <f t="shared" si="0"/>
        <v>363.40000000000009</v>
      </c>
      <c r="G22" s="4">
        <v>0</v>
      </c>
      <c r="H22" s="18">
        <v>22.85</v>
      </c>
      <c r="I22" s="4">
        <v>0</v>
      </c>
      <c r="J22" s="13">
        <f t="shared" si="1"/>
        <v>0</v>
      </c>
      <c r="K22" s="12">
        <f t="shared" si="2"/>
        <v>22.85</v>
      </c>
    </row>
    <row r="23" spans="2:11" x14ac:dyDescent="0.35">
      <c r="B23" s="1">
        <v>46190</v>
      </c>
      <c r="C23" s="4">
        <v>150</v>
      </c>
      <c r="D23" s="4">
        <v>100.58</v>
      </c>
      <c r="E23" s="4">
        <f t="shared" si="3"/>
        <v>863.98000000000013</v>
      </c>
      <c r="F23" s="4">
        <f t="shared" si="0"/>
        <v>463.98000000000013</v>
      </c>
      <c r="G23" s="4">
        <v>0</v>
      </c>
      <c r="H23" s="18">
        <v>100.58</v>
      </c>
      <c r="I23" s="4">
        <v>0</v>
      </c>
      <c r="J23" s="13">
        <f t="shared" si="1"/>
        <v>0</v>
      </c>
      <c r="K23" s="12">
        <f t="shared" si="2"/>
        <v>100.58</v>
      </c>
    </row>
    <row r="24" spans="2:11" x14ac:dyDescent="0.35">
      <c r="B24" s="1">
        <v>46191</v>
      </c>
      <c r="C24" s="4">
        <v>150</v>
      </c>
      <c r="D24" s="4">
        <v>0</v>
      </c>
      <c r="E24" s="4">
        <f t="shared" si="3"/>
        <v>863.98000000000013</v>
      </c>
      <c r="F24" s="4">
        <f t="shared" si="0"/>
        <v>445.33000000000015</v>
      </c>
      <c r="G24" s="4">
        <v>0</v>
      </c>
      <c r="H24" s="18">
        <v>0</v>
      </c>
      <c r="I24" s="4">
        <v>18.649999999999999</v>
      </c>
      <c r="J24" s="13">
        <f t="shared" si="1"/>
        <v>0</v>
      </c>
      <c r="K24" s="12">
        <f t="shared" si="2"/>
        <v>-18.649999999999999</v>
      </c>
    </row>
    <row r="25" spans="2:11" x14ac:dyDescent="0.35">
      <c r="B25" s="1">
        <v>46192</v>
      </c>
      <c r="C25" s="4">
        <v>150</v>
      </c>
      <c r="D25" s="4">
        <v>0</v>
      </c>
      <c r="E25" s="4">
        <f t="shared" si="3"/>
        <v>863.98000000000013</v>
      </c>
      <c r="F25" s="4">
        <f t="shared" si="0"/>
        <v>463.98000000000013</v>
      </c>
      <c r="G25" s="25">
        <v>985.82</v>
      </c>
      <c r="H25" s="18">
        <v>0</v>
      </c>
      <c r="I25" s="4">
        <v>0</v>
      </c>
      <c r="J25" s="13">
        <f t="shared" si="1"/>
        <v>0</v>
      </c>
      <c r="K25" s="12">
        <f t="shared" si="2"/>
        <v>0</v>
      </c>
    </row>
    <row r="26" spans="2:11" x14ac:dyDescent="0.35">
      <c r="B26" s="1">
        <v>46193</v>
      </c>
      <c r="C26" s="4">
        <v>150</v>
      </c>
      <c r="D26" s="4">
        <v>0</v>
      </c>
      <c r="E26" s="4">
        <f t="shared" si="3"/>
        <v>-121.83999999999992</v>
      </c>
      <c r="F26" s="4">
        <f t="shared" si="0"/>
        <v>-521.83999999999992</v>
      </c>
      <c r="G26" s="4">
        <v>0</v>
      </c>
      <c r="H26" s="18">
        <v>0</v>
      </c>
      <c r="I26" s="4">
        <v>0</v>
      </c>
      <c r="J26" s="13">
        <f t="shared" si="1"/>
        <v>0</v>
      </c>
      <c r="K26" s="12">
        <f t="shared" si="2"/>
        <v>0</v>
      </c>
    </row>
    <row r="27" spans="2:11" x14ac:dyDescent="0.35">
      <c r="B27" s="1">
        <v>46194</v>
      </c>
      <c r="C27" s="4">
        <v>150</v>
      </c>
      <c r="D27" s="4">
        <v>0</v>
      </c>
      <c r="E27" s="4">
        <f t="shared" si="3"/>
        <v>-121.83999999999992</v>
      </c>
      <c r="F27" s="4">
        <f t="shared" si="0"/>
        <v>-521.83999999999992</v>
      </c>
      <c r="G27" s="4">
        <v>0</v>
      </c>
      <c r="H27" s="18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1" x14ac:dyDescent="0.35">
      <c r="B28" s="1">
        <v>46195</v>
      </c>
      <c r="C28" s="4">
        <v>150</v>
      </c>
      <c r="D28" s="4">
        <v>0</v>
      </c>
      <c r="E28" s="4">
        <f t="shared" si="3"/>
        <v>-121.83999999999992</v>
      </c>
      <c r="F28" s="4">
        <f t="shared" si="0"/>
        <v>-521.83999999999992</v>
      </c>
      <c r="G28" s="4">
        <v>0</v>
      </c>
      <c r="H28" s="18">
        <v>0</v>
      </c>
      <c r="I28" s="4">
        <v>0</v>
      </c>
      <c r="J28" s="13">
        <f t="shared" si="1"/>
        <v>0</v>
      </c>
      <c r="K28" s="12">
        <f t="shared" si="2"/>
        <v>0</v>
      </c>
    </row>
    <row r="29" spans="2:11" x14ac:dyDescent="0.35">
      <c r="B29" s="1">
        <v>46196</v>
      </c>
      <c r="C29" s="4">
        <v>150</v>
      </c>
      <c r="D29" s="4">
        <v>0</v>
      </c>
      <c r="E29" s="4">
        <f t="shared" si="3"/>
        <v>-121.83999999999992</v>
      </c>
      <c r="F29" s="4">
        <f t="shared" si="0"/>
        <v>-521.83999999999992</v>
      </c>
      <c r="G29" s="4">
        <v>0</v>
      </c>
      <c r="H29" s="18">
        <v>0</v>
      </c>
      <c r="I29" s="4">
        <v>0</v>
      </c>
      <c r="J29" s="13">
        <f t="shared" si="1"/>
        <v>0</v>
      </c>
      <c r="K29" s="12">
        <f t="shared" si="2"/>
        <v>0</v>
      </c>
    </row>
    <row r="30" spans="2:11" x14ac:dyDescent="0.35">
      <c r="B30" s="1">
        <v>46197</v>
      </c>
      <c r="C30" s="4">
        <v>150</v>
      </c>
      <c r="D30" s="4">
        <v>0</v>
      </c>
      <c r="E30" s="4">
        <f t="shared" si="3"/>
        <v>-121.83999999999992</v>
      </c>
      <c r="F30" s="4">
        <f t="shared" si="0"/>
        <v>-521.83999999999992</v>
      </c>
      <c r="G30" s="4">
        <v>0</v>
      </c>
      <c r="H30" s="18">
        <v>0</v>
      </c>
      <c r="I30" s="4">
        <v>0</v>
      </c>
      <c r="J30" s="13">
        <f t="shared" si="1"/>
        <v>0</v>
      </c>
      <c r="K30" s="12">
        <f t="shared" si="2"/>
        <v>0</v>
      </c>
    </row>
    <row r="31" spans="2:11" x14ac:dyDescent="0.35">
      <c r="B31" s="1">
        <v>46198</v>
      </c>
      <c r="C31" s="4">
        <v>150</v>
      </c>
      <c r="D31" s="4">
        <v>0</v>
      </c>
      <c r="E31" s="4">
        <f t="shared" si="3"/>
        <v>-121.83999999999992</v>
      </c>
      <c r="F31" s="4">
        <f t="shared" si="0"/>
        <v>-521.83999999999992</v>
      </c>
      <c r="G31" s="4">
        <v>0</v>
      </c>
      <c r="H31" s="18">
        <v>0</v>
      </c>
      <c r="I31" s="4">
        <v>0</v>
      </c>
      <c r="J31" s="13">
        <f t="shared" si="1"/>
        <v>0</v>
      </c>
      <c r="K31" s="12">
        <f t="shared" si="2"/>
        <v>0</v>
      </c>
    </row>
    <row r="32" spans="2:11" x14ac:dyDescent="0.35">
      <c r="B32" s="1">
        <v>46199</v>
      </c>
      <c r="C32" s="4">
        <v>150</v>
      </c>
      <c r="D32" s="4">
        <v>0</v>
      </c>
      <c r="E32" s="4">
        <f t="shared" si="3"/>
        <v>-121.83999999999992</v>
      </c>
      <c r="F32" s="4">
        <f t="shared" si="0"/>
        <v>-521.83999999999992</v>
      </c>
      <c r="G32" s="4">
        <v>0</v>
      </c>
      <c r="H32" s="18">
        <v>0</v>
      </c>
      <c r="I32" s="4">
        <v>0</v>
      </c>
      <c r="J32" s="13">
        <f t="shared" si="1"/>
        <v>0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-121.83999999999992</v>
      </c>
      <c r="F33" s="4">
        <f t="shared" si="0"/>
        <v>-521.83999999999992</v>
      </c>
      <c r="G33" s="4">
        <v>0</v>
      </c>
      <c r="H33" s="18">
        <v>0</v>
      </c>
      <c r="I33" s="4">
        <v>0</v>
      </c>
      <c r="J33" s="13">
        <f t="shared" si="1"/>
        <v>0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-121.83999999999992</v>
      </c>
      <c r="F34" s="4">
        <f t="shared" si="0"/>
        <v>-521.83999999999992</v>
      </c>
      <c r="G34" s="4">
        <v>0</v>
      </c>
      <c r="H34" s="18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-121.83999999999992</v>
      </c>
      <c r="F35" s="4">
        <f t="shared" si="0"/>
        <v>-521.83999999999992</v>
      </c>
      <c r="G35" s="4">
        <v>0</v>
      </c>
      <c r="H35" s="18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-121.83999999999992</v>
      </c>
      <c r="F36" s="4">
        <f t="shared" si="0"/>
        <v>-521.83999999999992</v>
      </c>
      <c r="G36" s="4">
        <v>0</v>
      </c>
      <c r="H36" s="18">
        <v>0</v>
      </c>
      <c r="I36" s="4">
        <v>0</v>
      </c>
      <c r="J36" s="13">
        <f t="shared" si="1"/>
        <v>0</v>
      </c>
      <c r="K36" s="12">
        <f t="shared" si="2"/>
        <v>0</v>
      </c>
    </row>
  </sheetData>
  <mergeCells count="1">
    <mergeCell ref="C4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EB92-6EEF-4DFD-BE63-1ED7456C2DAB}">
  <sheetPr>
    <tabColor rgb="FF15C2CF"/>
  </sheetPr>
  <dimension ref="B1:AD36"/>
  <sheetViews>
    <sheetView workbookViewId="0">
      <selection activeCell="L27" sqref="L27"/>
    </sheetView>
  </sheetViews>
  <sheetFormatPr defaultColWidth="10.90625" defaultRowHeight="14.5" outlineLevelRow="1" x14ac:dyDescent="0.35"/>
  <cols>
    <col min="1" max="1" width="3.26953125" customWidth="1"/>
    <col min="2" max="2" width="13.08984375" customWidth="1"/>
    <col min="3" max="3" width="9" bestFit="1" customWidth="1"/>
    <col min="4" max="4" width="9" customWidth="1"/>
    <col min="5" max="6" width="10.36328125" bestFit="1" customWidth="1"/>
    <col min="7" max="7" width="11.08984375" customWidth="1"/>
    <col min="8" max="8" width="13.453125" style="4" customWidth="1"/>
    <col min="9" max="9" width="14.453125" customWidth="1"/>
    <col min="10" max="10" width="16.54296875" style="13" customWidth="1"/>
    <col min="11" max="11" width="16.6328125" customWidth="1"/>
    <col min="12" max="12" width="20.81640625" style="30" customWidth="1"/>
    <col min="13" max="13" width="43.08984375" style="41" customWidth="1"/>
    <col min="14" max="14" width="8.1796875" bestFit="1" customWidth="1"/>
    <col min="15" max="16" width="8.1796875" customWidth="1"/>
    <col min="17" max="17" width="11.7265625" bestFit="1" customWidth="1"/>
    <col min="18" max="19" width="11.7265625" customWidth="1"/>
    <col min="20" max="20" width="6" bestFit="1" customWidth="1"/>
    <col min="21" max="22" width="6" customWidth="1"/>
    <col min="23" max="23" width="5" bestFit="1" customWidth="1"/>
    <col min="24" max="25" width="9" bestFit="1" customWidth="1"/>
    <col min="26" max="26" width="5.1796875" bestFit="1" customWidth="1"/>
    <col min="27" max="27" width="6.26953125" bestFit="1" customWidth="1"/>
    <col min="28" max="28" width="8.54296875" bestFit="1" customWidth="1"/>
    <col min="29" max="29" width="10.1796875" bestFit="1" customWidth="1"/>
    <col min="30" max="30" width="4.453125" bestFit="1" customWidth="1"/>
  </cols>
  <sheetData>
    <row r="1" spans="2:30" outlineLevel="1" x14ac:dyDescent="0.35"/>
    <row r="2" spans="2:30" s="4" customFormat="1" outlineLevel="1" x14ac:dyDescent="0.35">
      <c r="C2" s="4">
        <v>147.88</v>
      </c>
      <c r="E2" s="4">
        <v>400</v>
      </c>
      <c r="J2" s="13"/>
      <c r="L2" s="31"/>
      <c r="M2" s="42"/>
    </row>
    <row r="4" spans="2:30" s="2" customFormat="1" ht="28.5" customHeight="1" x14ac:dyDescent="0.35">
      <c r="C4" s="61" t="s">
        <v>8</v>
      </c>
      <c r="D4" s="61"/>
      <c r="E4" s="61"/>
      <c r="F4" s="61"/>
      <c r="G4" s="61"/>
      <c r="H4" s="61"/>
      <c r="I4" s="61"/>
      <c r="J4" s="61"/>
      <c r="K4" s="61"/>
      <c r="L4" s="61"/>
      <c r="M4" s="61"/>
    </row>
    <row r="5" spans="2:30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  <c r="M5" s="43" t="s">
        <v>29</v>
      </c>
    </row>
    <row r="6" spans="2:30" x14ac:dyDescent="0.35">
      <c r="B6" s="1">
        <v>46173</v>
      </c>
      <c r="C6" s="4">
        <v>147.88</v>
      </c>
      <c r="D6" s="4">
        <v>336.3</v>
      </c>
      <c r="E6" s="4">
        <f>+E2+277.07+350.93+163.63+268.32+606.91</f>
        <v>2066.86</v>
      </c>
      <c r="F6" s="4">
        <f>+E6-$E$2-I6</f>
        <v>1666.8600000000001</v>
      </c>
      <c r="G6" s="4">
        <v>0</v>
      </c>
      <c r="H6" s="18">
        <v>636.29999999999995</v>
      </c>
      <c r="I6" s="12">
        <v>0</v>
      </c>
      <c r="J6" s="13">
        <f>D6-H6</f>
        <v>-299.99999999999994</v>
      </c>
      <c r="K6" s="12">
        <f>H6-I6</f>
        <v>636.29999999999995</v>
      </c>
      <c r="L6" s="30" t="s">
        <v>23</v>
      </c>
    </row>
    <row r="7" spans="2:30" x14ac:dyDescent="0.35">
      <c r="B7" s="1">
        <v>46174</v>
      </c>
      <c r="C7" s="4">
        <v>147.88</v>
      </c>
      <c r="D7" s="4">
        <v>345.18</v>
      </c>
      <c r="E7" s="4">
        <f>+E6+D7-G6</f>
        <v>2412.04</v>
      </c>
      <c r="F7" s="4">
        <f t="shared" ref="F7:F36" si="0">+E7-$E$2-I7</f>
        <v>2012.04</v>
      </c>
      <c r="G7" s="4">
        <v>0</v>
      </c>
      <c r="H7" s="18">
        <v>341.85</v>
      </c>
      <c r="I7" s="12">
        <v>0</v>
      </c>
      <c r="J7" s="13">
        <f t="shared" ref="J7:J36" si="1">D7-H7</f>
        <v>3.3299999999999841</v>
      </c>
      <c r="K7" s="12">
        <f t="shared" ref="K7:K36" si="2">H7-I7</f>
        <v>341.85</v>
      </c>
    </row>
    <row r="8" spans="2:30" x14ac:dyDescent="0.35">
      <c r="B8" s="1">
        <v>46175</v>
      </c>
      <c r="C8" s="4">
        <v>147.88</v>
      </c>
      <c r="D8" s="4">
        <v>128.30000000000001</v>
      </c>
      <c r="E8" s="4">
        <f t="shared" ref="E8:E36" si="3">+E7+D8-G7</f>
        <v>2540.34</v>
      </c>
      <c r="F8" s="4">
        <f t="shared" si="0"/>
        <v>2130.67</v>
      </c>
      <c r="G8" s="45">
        <v>2005</v>
      </c>
      <c r="H8" s="18">
        <v>118.63</v>
      </c>
      <c r="I8" s="44">
        <v>9.67</v>
      </c>
      <c r="J8" s="13">
        <f t="shared" si="1"/>
        <v>9.6700000000000159</v>
      </c>
      <c r="K8" s="12">
        <f t="shared" si="2"/>
        <v>108.96</v>
      </c>
      <c r="L8" s="30" t="s">
        <v>32</v>
      </c>
      <c r="M8" s="4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35">
      <c r="B9" s="1">
        <v>46176</v>
      </c>
      <c r="C9" s="4">
        <v>147.88</v>
      </c>
      <c r="D9" s="4">
        <v>180</v>
      </c>
      <c r="E9" s="4">
        <f t="shared" si="3"/>
        <v>715.34000000000015</v>
      </c>
      <c r="F9" s="4">
        <f t="shared" si="0"/>
        <v>222.96000000000015</v>
      </c>
      <c r="G9" s="4">
        <v>0</v>
      </c>
      <c r="H9" s="18">
        <v>87.62</v>
      </c>
      <c r="I9" s="44">
        <v>92.38</v>
      </c>
      <c r="J9" s="13">
        <f t="shared" si="1"/>
        <v>92.38</v>
      </c>
      <c r="K9" s="12">
        <f t="shared" si="2"/>
        <v>-4.7599999999999909</v>
      </c>
      <c r="L9" s="30" t="s">
        <v>32</v>
      </c>
      <c r="M9" s="4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2:30" x14ac:dyDescent="0.35">
      <c r="B10" s="1">
        <v>46177</v>
      </c>
      <c r="C10" s="4">
        <v>147.88</v>
      </c>
      <c r="D10" s="4">
        <v>305.56</v>
      </c>
      <c r="E10" s="4">
        <f t="shared" si="3"/>
        <v>1020.9000000000001</v>
      </c>
      <c r="F10" s="4">
        <f t="shared" si="0"/>
        <v>620.90000000000009</v>
      </c>
      <c r="G10" s="4">
        <v>0</v>
      </c>
      <c r="H10" s="18">
        <v>305.56</v>
      </c>
      <c r="I10" s="12">
        <v>0</v>
      </c>
      <c r="J10" s="13">
        <f t="shared" si="1"/>
        <v>0</v>
      </c>
      <c r="K10" s="12">
        <f t="shared" si="2"/>
        <v>305.56</v>
      </c>
      <c r="L10" s="38"/>
      <c r="M10" s="4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2:30" x14ac:dyDescent="0.35">
      <c r="B11" s="1">
        <v>46178</v>
      </c>
      <c r="C11" s="4">
        <v>147.88</v>
      </c>
      <c r="D11" s="4">
        <v>273.7</v>
      </c>
      <c r="E11" s="4">
        <f t="shared" si="3"/>
        <v>1294.6000000000001</v>
      </c>
      <c r="F11" s="4">
        <f t="shared" si="0"/>
        <v>880.74000000000012</v>
      </c>
      <c r="G11" s="4">
        <v>0</v>
      </c>
      <c r="H11" s="18">
        <v>259.83</v>
      </c>
      <c r="I11" s="44">
        <v>13.86</v>
      </c>
      <c r="J11" s="13">
        <f t="shared" si="1"/>
        <v>13.870000000000005</v>
      </c>
      <c r="K11" s="12">
        <f t="shared" si="2"/>
        <v>245.96999999999997</v>
      </c>
      <c r="L11" s="30" t="s">
        <v>32</v>
      </c>
      <c r="M11" s="4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2:30" x14ac:dyDescent="0.35">
      <c r="B12" s="1">
        <v>46179</v>
      </c>
      <c r="C12" s="4">
        <v>147.88</v>
      </c>
      <c r="D12" s="4">
        <v>374</v>
      </c>
      <c r="E12" s="4">
        <f t="shared" si="3"/>
        <v>1668.6000000000001</v>
      </c>
      <c r="F12" s="4">
        <f t="shared" si="0"/>
        <v>1268.6000000000001</v>
      </c>
      <c r="G12" s="4">
        <v>0</v>
      </c>
      <c r="H12" s="18">
        <v>374</v>
      </c>
      <c r="I12" s="12">
        <v>0</v>
      </c>
      <c r="J12" s="13">
        <f t="shared" si="1"/>
        <v>0</v>
      </c>
      <c r="K12" s="12">
        <f t="shared" si="2"/>
        <v>374</v>
      </c>
      <c r="L12" s="38"/>
      <c r="M12" s="4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2:30" x14ac:dyDescent="0.35">
      <c r="B13" s="1">
        <v>46180</v>
      </c>
      <c r="C13" s="4">
        <v>147.88</v>
      </c>
      <c r="D13" s="4">
        <v>195.1</v>
      </c>
      <c r="E13" s="4">
        <f t="shared" si="3"/>
        <v>1863.7</v>
      </c>
      <c r="F13" s="4">
        <f t="shared" si="0"/>
        <v>1463.7</v>
      </c>
      <c r="G13" s="4">
        <v>0</v>
      </c>
      <c r="H13" s="18">
        <v>195.1</v>
      </c>
      <c r="I13" s="12">
        <v>0</v>
      </c>
      <c r="J13" s="13">
        <f t="shared" si="1"/>
        <v>0</v>
      </c>
      <c r="K13" s="12">
        <f t="shared" si="2"/>
        <v>195.1</v>
      </c>
      <c r="L13" s="38"/>
      <c r="M13" s="4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2:30" x14ac:dyDescent="0.35">
      <c r="B14" s="1">
        <v>46181</v>
      </c>
      <c r="C14" s="4">
        <v>147.88</v>
      </c>
      <c r="D14" s="4">
        <v>578.75</v>
      </c>
      <c r="E14" s="4">
        <f t="shared" si="3"/>
        <v>2442.4499999999998</v>
      </c>
      <c r="F14" s="4">
        <f t="shared" si="0"/>
        <v>2042.4499999999998</v>
      </c>
      <c r="G14" s="4">
        <v>0</v>
      </c>
      <c r="H14" s="18">
        <v>578.75</v>
      </c>
      <c r="I14" s="12">
        <v>0</v>
      </c>
      <c r="J14" s="13">
        <f t="shared" si="1"/>
        <v>0</v>
      </c>
      <c r="K14" s="12">
        <f t="shared" si="2"/>
        <v>578.75</v>
      </c>
      <c r="L14" s="38"/>
      <c r="M14" s="4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2:30" x14ac:dyDescent="0.35">
      <c r="B15" s="1">
        <v>46182</v>
      </c>
      <c r="C15" s="4">
        <v>147.88</v>
      </c>
      <c r="D15" s="4">
        <v>507.2</v>
      </c>
      <c r="E15" s="4">
        <f t="shared" si="3"/>
        <v>2949.6499999999996</v>
      </c>
      <c r="F15" s="4">
        <f t="shared" si="0"/>
        <v>2549.6499999999996</v>
      </c>
      <c r="G15" s="45">
        <v>1915</v>
      </c>
      <c r="H15" s="18">
        <v>501.33</v>
      </c>
      <c r="I15" s="12">
        <v>0</v>
      </c>
      <c r="J15" s="13">
        <f t="shared" si="1"/>
        <v>5.8700000000000045</v>
      </c>
      <c r="K15" s="12">
        <f t="shared" si="2"/>
        <v>501.33</v>
      </c>
      <c r="L15" s="30" t="s">
        <v>23</v>
      </c>
      <c r="M15" s="4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2:30" x14ac:dyDescent="0.35">
      <c r="B16" s="1">
        <v>46183</v>
      </c>
      <c r="C16" s="4">
        <v>147.88</v>
      </c>
      <c r="D16" s="4">
        <v>305.81</v>
      </c>
      <c r="E16" s="4">
        <f t="shared" si="3"/>
        <v>1340.4599999999996</v>
      </c>
      <c r="F16" s="4">
        <f t="shared" si="0"/>
        <v>940.45999999999958</v>
      </c>
      <c r="G16" s="4">
        <v>0</v>
      </c>
      <c r="H16" s="18">
        <v>296.81</v>
      </c>
      <c r="I16" s="12">
        <v>0</v>
      </c>
      <c r="J16" s="13">
        <f t="shared" si="1"/>
        <v>9</v>
      </c>
      <c r="K16" s="12">
        <f t="shared" si="2"/>
        <v>296.81</v>
      </c>
      <c r="M16" s="42" t="s">
        <v>30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2:30" x14ac:dyDescent="0.35">
      <c r="B17" s="1">
        <v>46184</v>
      </c>
      <c r="C17" s="4">
        <v>147.88</v>
      </c>
      <c r="D17" s="4">
        <v>601.65</v>
      </c>
      <c r="E17" s="4">
        <f t="shared" si="3"/>
        <v>1942.1099999999997</v>
      </c>
      <c r="F17" s="4">
        <f t="shared" si="0"/>
        <v>1542.1099999999997</v>
      </c>
      <c r="G17" s="4">
        <v>0</v>
      </c>
      <c r="H17" s="18">
        <v>601.65</v>
      </c>
      <c r="I17" s="12">
        <v>0</v>
      </c>
      <c r="J17" s="13">
        <f t="shared" si="1"/>
        <v>0</v>
      </c>
      <c r="K17" s="12">
        <f t="shared" si="2"/>
        <v>601.65</v>
      </c>
      <c r="L17" s="38"/>
      <c r="M17" s="4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2:30" x14ac:dyDescent="0.35">
      <c r="B18" s="1">
        <v>46185</v>
      </c>
      <c r="C18" s="4">
        <v>147.88</v>
      </c>
      <c r="D18" s="4">
        <v>310.52</v>
      </c>
      <c r="E18" s="4">
        <f t="shared" si="3"/>
        <v>2252.6299999999997</v>
      </c>
      <c r="F18" s="4">
        <f t="shared" si="0"/>
        <v>1852.6299999999997</v>
      </c>
      <c r="G18" s="4">
        <v>0</v>
      </c>
      <c r="H18" s="18">
        <v>310.52</v>
      </c>
      <c r="I18" s="12">
        <v>0</v>
      </c>
      <c r="J18" s="13">
        <f t="shared" si="1"/>
        <v>0</v>
      </c>
      <c r="K18" s="12">
        <f t="shared" si="2"/>
        <v>310.52</v>
      </c>
      <c r="L18" s="38"/>
      <c r="M18" s="4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2:30" x14ac:dyDescent="0.35">
      <c r="B19" s="1">
        <v>46186</v>
      </c>
      <c r="C19" s="4">
        <v>147.88</v>
      </c>
      <c r="D19" s="4">
        <v>274.2</v>
      </c>
      <c r="E19" s="4">
        <f t="shared" si="3"/>
        <v>2526.8299999999995</v>
      </c>
      <c r="F19" s="4">
        <f t="shared" si="0"/>
        <v>2076.8799999999997</v>
      </c>
      <c r="G19" s="4">
        <v>0</v>
      </c>
      <c r="H19" s="18">
        <v>224.25</v>
      </c>
      <c r="I19" s="44">
        <v>49.95</v>
      </c>
      <c r="J19" s="13">
        <f t="shared" si="1"/>
        <v>49.949999999999989</v>
      </c>
      <c r="K19" s="12">
        <f t="shared" si="2"/>
        <v>174.3</v>
      </c>
      <c r="L19" s="38"/>
      <c r="M19" s="4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2:30" x14ac:dyDescent="0.35">
      <c r="B20" s="1">
        <v>46187</v>
      </c>
      <c r="C20" s="4">
        <v>147.88</v>
      </c>
      <c r="D20" s="4">
        <v>707.28</v>
      </c>
      <c r="E20" s="4">
        <f t="shared" si="3"/>
        <v>3234.1099999999997</v>
      </c>
      <c r="F20" s="4">
        <f t="shared" si="0"/>
        <v>2834.1099999999997</v>
      </c>
      <c r="G20" s="4">
        <v>0</v>
      </c>
      <c r="H20" s="18">
        <v>707.28</v>
      </c>
      <c r="I20" s="12">
        <v>0</v>
      </c>
      <c r="J20" s="13">
        <f t="shared" si="1"/>
        <v>0</v>
      </c>
      <c r="K20" s="12">
        <f t="shared" si="2"/>
        <v>707.28</v>
      </c>
      <c r="L20" s="38"/>
      <c r="M20" s="4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2:30" x14ac:dyDescent="0.35">
      <c r="B21" s="1">
        <v>46188</v>
      </c>
      <c r="C21" s="4">
        <v>147.88</v>
      </c>
      <c r="D21" s="4">
        <v>257.23</v>
      </c>
      <c r="E21" s="4">
        <f t="shared" si="3"/>
        <v>3491.3399999999997</v>
      </c>
      <c r="F21" s="4">
        <f t="shared" si="0"/>
        <v>3041.37</v>
      </c>
      <c r="G21" s="4">
        <v>0</v>
      </c>
      <c r="H21" s="18">
        <v>207.26</v>
      </c>
      <c r="I21" s="44">
        <v>49.97</v>
      </c>
      <c r="J21" s="13">
        <f t="shared" si="1"/>
        <v>49.970000000000027</v>
      </c>
      <c r="K21" s="12">
        <f t="shared" si="2"/>
        <v>157.29</v>
      </c>
      <c r="L21" s="31"/>
      <c r="M21" s="42" t="s">
        <v>31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2:30" x14ac:dyDescent="0.35">
      <c r="B22" s="1">
        <v>46189</v>
      </c>
      <c r="C22" s="4">
        <v>147.88</v>
      </c>
      <c r="D22" s="4">
        <v>242.43</v>
      </c>
      <c r="E22" s="4">
        <f t="shared" si="3"/>
        <v>3733.7699999999995</v>
      </c>
      <c r="F22" s="4">
        <f t="shared" si="0"/>
        <v>3304.7699999999995</v>
      </c>
      <c r="G22" s="4">
        <v>0</v>
      </c>
      <c r="H22" s="18">
        <v>213.5</v>
      </c>
      <c r="I22" s="44">
        <v>29</v>
      </c>
      <c r="J22" s="13">
        <f t="shared" si="1"/>
        <v>28.930000000000007</v>
      </c>
      <c r="K22" s="12">
        <f t="shared" si="2"/>
        <v>184.5</v>
      </c>
      <c r="L22" s="30" t="s">
        <v>32</v>
      </c>
      <c r="M22" s="4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2:30" x14ac:dyDescent="0.35">
      <c r="B23" s="1">
        <v>46190</v>
      </c>
      <c r="C23" s="4">
        <v>147.88</v>
      </c>
      <c r="D23" s="4">
        <v>348.36</v>
      </c>
      <c r="E23" s="4">
        <f t="shared" si="3"/>
        <v>4082.1299999999997</v>
      </c>
      <c r="F23" s="4">
        <f t="shared" si="0"/>
        <v>3682.1299999999997</v>
      </c>
      <c r="G23" s="4">
        <v>0</v>
      </c>
      <c r="H23" s="18">
        <v>248.36</v>
      </c>
      <c r="I23" s="12">
        <v>0</v>
      </c>
      <c r="J23" s="13">
        <f t="shared" si="1"/>
        <v>100</v>
      </c>
      <c r="K23" s="12">
        <f t="shared" si="2"/>
        <v>248.36</v>
      </c>
      <c r="M23" s="4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2:30" x14ac:dyDescent="0.35">
      <c r="B24" s="1">
        <v>46191</v>
      </c>
      <c r="C24" s="4">
        <v>147.88</v>
      </c>
      <c r="D24" s="4">
        <v>0</v>
      </c>
      <c r="E24" s="4">
        <f t="shared" si="3"/>
        <v>4082.1299999999997</v>
      </c>
      <c r="F24" s="4">
        <f t="shared" si="0"/>
        <v>3682.1299999999997</v>
      </c>
      <c r="G24" s="4">
        <v>3438.84</v>
      </c>
      <c r="H24" s="18">
        <v>329.3</v>
      </c>
      <c r="I24" s="12">
        <v>0</v>
      </c>
      <c r="J24" s="13">
        <f t="shared" si="1"/>
        <v>-329.3</v>
      </c>
      <c r="K24" s="12">
        <f t="shared" si="2"/>
        <v>329.3</v>
      </c>
      <c r="L24" s="31"/>
      <c r="M24" s="4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2:30" x14ac:dyDescent="0.35">
      <c r="B25" s="1">
        <v>46192</v>
      </c>
      <c r="C25" s="4">
        <v>147.88</v>
      </c>
      <c r="D25" s="4">
        <v>0</v>
      </c>
      <c r="E25" s="4">
        <f t="shared" si="3"/>
        <v>643.28999999999951</v>
      </c>
      <c r="F25" s="4">
        <f t="shared" si="0"/>
        <v>243.28999999999951</v>
      </c>
      <c r="G25" s="4">
        <v>0</v>
      </c>
      <c r="H25" s="18">
        <v>400.7</v>
      </c>
      <c r="I25" s="12">
        <v>0</v>
      </c>
      <c r="J25" s="13">
        <f t="shared" si="1"/>
        <v>-400.7</v>
      </c>
      <c r="K25" s="12">
        <f t="shared" si="2"/>
        <v>400.7</v>
      </c>
      <c r="L25" s="31"/>
      <c r="M25" s="4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2:30" x14ac:dyDescent="0.35">
      <c r="B26" s="1">
        <v>46193</v>
      </c>
      <c r="C26" s="4">
        <v>147.88</v>
      </c>
      <c r="D26" s="4">
        <v>0</v>
      </c>
      <c r="E26" s="4">
        <f t="shared" si="3"/>
        <v>643.28999999999951</v>
      </c>
      <c r="F26" s="4">
        <f t="shared" si="0"/>
        <v>243.28999999999951</v>
      </c>
      <c r="G26" s="4">
        <v>0</v>
      </c>
      <c r="H26" s="18">
        <v>563.41999999999996</v>
      </c>
      <c r="I26" s="12">
        <v>0</v>
      </c>
      <c r="J26" s="13">
        <f t="shared" si="1"/>
        <v>-563.41999999999996</v>
      </c>
      <c r="K26" s="12">
        <f t="shared" si="2"/>
        <v>563.41999999999996</v>
      </c>
      <c r="L26" s="31"/>
      <c r="M26" s="4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2:30" x14ac:dyDescent="0.35">
      <c r="B27" s="1">
        <v>46194</v>
      </c>
      <c r="C27" s="4">
        <v>147.88</v>
      </c>
      <c r="D27" s="4">
        <v>0</v>
      </c>
      <c r="E27" s="4">
        <f t="shared" si="3"/>
        <v>643.28999999999951</v>
      </c>
      <c r="F27" s="4">
        <f t="shared" si="0"/>
        <v>95.389999999999503</v>
      </c>
      <c r="G27" s="4">
        <v>0</v>
      </c>
      <c r="H27" s="18">
        <v>168.3</v>
      </c>
      <c r="I27" s="12">
        <v>147.9</v>
      </c>
      <c r="J27" s="13">
        <f t="shared" si="1"/>
        <v>-168.3</v>
      </c>
      <c r="K27" s="12">
        <f t="shared" si="2"/>
        <v>20.400000000000006</v>
      </c>
      <c r="L27" s="31"/>
      <c r="M27" s="4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2:30" x14ac:dyDescent="0.35">
      <c r="B28" s="1">
        <v>46195</v>
      </c>
      <c r="C28" s="4">
        <v>147.88</v>
      </c>
      <c r="D28" s="4">
        <v>0</v>
      </c>
      <c r="E28" s="4">
        <f t="shared" si="3"/>
        <v>643.28999999999951</v>
      </c>
      <c r="F28" s="4">
        <f t="shared" si="0"/>
        <v>243.28999999999951</v>
      </c>
      <c r="G28" s="4">
        <v>0</v>
      </c>
      <c r="H28" s="18">
        <v>329.1</v>
      </c>
      <c r="I28" s="12">
        <v>0</v>
      </c>
      <c r="J28" s="13">
        <f t="shared" si="1"/>
        <v>-329.1</v>
      </c>
      <c r="K28" s="12">
        <f t="shared" si="2"/>
        <v>329.1</v>
      </c>
      <c r="L28" s="31"/>
      <c r="M28" s="4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2:30" x14ac:dyDescent="0.35">
      <c r="B29" s="1">
        <v>46196</v>
      </c>
      <c r="C29" s="4">
        <v>147.88</v>
      </c>
      <c r="D29" s="4">
        <v>0</v>
      </c>
      <c r="E29" s="4">
        <f t="shared" si="3"/>
        <v>643.28999999999951</v>
      </c>
      <c r="F29" s="4">
        <f t="shared" si="0"/>
        <v>238.50999999999951</v>
      </c>
      <c r="G29" s="4">
        <v>0</v>
      </c>
      <c r="H29" s="18">
        <v>357.44</v>
      </c>
      <c r="I29" s="12">
        <v>4.78</v>
      </c>
      <c r="J29" s="13">
        <f t="shared" si="1"/>
        <v>-357.44</v>
      </c>
      <c r="K29" s="12">
        <f t="shared" si="2"/>
        <v>352.66</v>
      </c>
      <c r="L29" s="31"/>
      <c r="M29" s="4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2:30" x14ac:dyDescent="0.35">
      <c r="B30" s="1">
        <v>46197</v>
      </c>
      <c r="C30" s="4">
        <v>147.88</v>
      </c>
      <c r="D30" s="4">
        <v>0</v>
      </c>
      <c r="E30" s="4">
        <f t="shared" si="3"/>
        <v>643.28999999999951</v>
      </c>
      <c r="F30" s="4">
        <f t="shared" si="0"/>
        <v>243.28999999999951</v>
      </c>
      <c r="G30" s="4">
        <v>0</v>
      </c>
      <c r="H30" s="18">
        <v>330.3</v>
      </c>
      <c r="I30" s="12">
        <v>0</v>
      </c>
      <c r="J30" s="13">
        <f t="shared" si="1"/>
        <v>-330.3</v>
      </c>
      <c r="K30" s="12">
        <f t="shared" si="2"/>
        <v>330.3</v>
      </c>
      <c r="L30" s="31"/>
      <c r="M30" s="4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2:30" x14ac:dyDescent="0.35">
      <c r="B31" s="1">
        <v>46198</v>
      </c>
      <c r="C31" s="4">
        <v>147.88</v>
      </c>
      <c r="D31" s="4">
        <v>0</v>
      </c>
      <c r="E31" s="4">
        <f t="shared" si="3"/>
        <v>643.28999999999951</v>
      </c>
      <c r="F31" s="4">
        <f t="shared" si="0"/>
        <v>243.28999999999951</v>
      </c>
      <c r="G31" s="4">
        <v>0</v>
      </c>
      <c r="H31" s="18">
        <v>115.16</v>
      </c>
      <c r="I31" s="12">
        <v>0</v>
      </c>
      <c r="J31" s="13">
        <f t="shared" si="1"/>
        <v>-115.16</v>
      </c>
      <c r="K31" s="12">
        <f t="shared" si="2"/>
        <v>115.16</v>
      </c>
      <c r="L31" s="31"/>
      <c r="M31" s="4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2:30" x14ac:dyDescent="0.35">
      <c r="B32" s="1">
        <v>46199</v>
      </c>
      <c r="C32" s="4">
        <v>147.88</v>
      </c>
      <c r="D32" s="4">
        <v>0</v>
      </c>
      <c r="E32" s="4">
        <f t="shared" si="3"/>
        <v>643.28999999999951</v>
      </c>
      <c r="F32" s="4">
        <f t="shared" si="0"/>
        <v>243.28999999999951</v>
      </c>
      <c r="G32" s="4">
        <v>0</v>
      </c>
      <c r="H32" s="18">
        <v>0</v>
      </c>
      <c r="I32" s="12">
        <v>0</v>
      </c>
      <c r="J32" s="13">
        <f t="shared" si="1"/>
        <v>0</v>
      </c>
      <c r="K32" s="12">
        <f t="shared" si="2"/>
        <v>0</v>
      </c>
      <c r="L32" s="31"/>
      <c r="M32" s="4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2:30" x14ac:dyDescent="0.35">
      <c r="B33" s="1">
        <v>46200</v>
      </c>
      <c r="C33" s="4">
        <v>147.88</v>
      </c>
      <c r="D33" s="4">
        <v>0</v>
      </c>
      <c r="E33" s="4">
        <f t="shared" si="3"/>
        <v>643.28999999999951</v>
      </c>
      <c r="F33" s="4">
        <f t="shared" si="0"/>
        <v>243.28999999999951</v>
      </c>
      <c r="G33" s="4">
        <v>0</v>
      </c>
      <c r="H33" s="18">
        <v>0</v>
      </c>
      <c r="I33" s="12">
        <v>0</v>
      </c>
      <c r="J33" s="13">
        <f t="shared" si="1"/>
        <v>0</v>
      </c>
      <c r="K33" s="12">
        <f t="shared" si="2"/>
        <v>0</v>
      </c>
      <c r="L33" s="31"/>
      <c r="M33" s="4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2:30" x14ac:dyDescent="0.35">
      <c r="B34" s="1">
        <v>46201</v>
      </c>
      <c r="C34" s="4">
        <v>147.88</v>
      </c>
      <c r="D34" s="4">
        <v>0</v>
      </c>
      <c r="E34" s="4">
        <f t="shared" si="3"/>
        <v>643.28999999999951</v>
      </c>
      <c r="F34" s="4">
        <f t="shared" si="0"/>
        <v>243.28999999999951</v>
      </c>
      <c r="G34" s="4">
        <v>0</v>
      </c>
      <c r="H34" s="18">
        <v>0</v>
      </c>
      <c r="I34" s="12">
        <v>0</v>
      </c>
      <c r="J34" s="13">
        <f t="shared" si="1"/>
        <v>0</v>
      </c>
      <c r="K34" s="12">
        <f t="shared" si="2"/>
        <v>0</v>
      </c>
      <c r="L34" s="31"/>
      <c r="M34" s="4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2:30" x14ac:dyDescent="0.35">
      <c r="B35" s="1">
        <v>46202</v>
      </c>
      <c r="C35" s="4">
        <v>147.88</v>
      </c>
      <c r="D35" s="4">
        <v>0</v>
      </c>
      <c r="E35" s="4">
        <f t="shared" si="3"/>
        <v>643.28999999999951</v>
      </c>
      <c r="F35" s="4">
        <f t="shared" si="0"/>
        <v>243.28999999999951</v>
      </c>
      <c r="G35" s="4">
        <v>0</v>
      </c>
      <c r="H35" s="18">
        <v>0</v>
      </c>
      <c r="I35" s="12">
        <v>0</v>
      </c>
      <c r="J35" s="13">
        <f t="shared" si="1"/>
        <v>0</v>
      </c>
      <c r="K35" s="12">
        <f t="shared" si="2"/>
        <v>0</v>
      </c>
      <c r="L35" s="31"/>
      <c r="M35" s="4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2:30" x14ac:dyDescent="0.35">
      <c r="B36" s="1">
        <v>46203</v>
      </c>
      <c r="C36" s="4">
        <v>147.88</v>
      </c>
      <c r="D36" s="4">
        <v>0</v>
      </c>
      <c r="E36" s="4">
        <f t="shared" si="3"/>
        <v>643.28999999999951</v>
      </c>
      <c r="F36" s="4">
        <f t="shared" si="0"/>
        <v>243.28999999999951</v>
      </c>
      <c r="G36" s="4">
        <v>0</v>
      </c>
      <c r="H36" s="18">
        <v>0</v>
      </c>
      <c r="I36" s="12">
        <v>0</v>
      </c>
      <c r="J36" s="13">
        <f t="shared" si="1"/>
        <v>0</v>
      </c>
      <c r="K36" s="12">
        <f t="shared" si="2"/>
        <v>0</v>
      </c>
      <c r="L36" s="31"/>
      <c r="M36" s="4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</sheetData>
  <mergeCells count="1">
    <mergeCell ref="C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BDEF-04B0-454F-98A9-5D4A43498F9C}">
  <sheetPr>
    <tabColor rgb="FF7030A0"/>
  </sheetPr>
  <dimension ref="B1:L36"/>
  <sheetViews>
    <sheetView topLeftCell="A4" workbookViewId="0">
      <selection activeCell="H37" sqref="H37"/>
    </sheetView>
  </sheetViews>
  <sheetFormatPr defaultColWidth="10.90625" defaultRowHeight="14.5" outlineLevelRow="1" x14ac:dyDescent="0.35"/>
  <cols>
    <col min="1" max="1" width="3.26953125" customWidth="1"/>
    <col min="2" max="2" width="12.36328125" customWidth="1"/>
    <col min="3" max="3" width="9" bestFit="1" customWidth="1"/>
    <col min="4" max="4" width="9" customWidth="1"/>
    <col min="5" max="5" width="11" customWidth="1"/>
    <col min="6" max="6" width="14.6328125" customWidth="1"/>
    <col min="7" max="7" width="11" customWidth="1"/>
    <col min="8" max="8" width="10.90625" style="4"/>
    <col min="9" max="9" width="14.6328125" style="4" customWidth="1"/>
    <col min="10" max="10" width="16.36328125" style="13" customWidth="1"/>
    <col min="11" max="11" width="15.90625" style="4" customWidth="1"/>
    <col min="12" max="12" width="25.26953125" customWidth="1"/>
  </cols>
  <sheetData>
    <row r="1" spans="2:12" outlineLevel="1" x14ac:dyDescent="0.35"/>
    <row r="2" spans="2:12" s="4" customFormat="1" outlineLevel="1" x14ac:dyDescent="0.35">
      <c r="C2" s="4">
        <v>150</v>
      </c>
      <c r="E2" s="4">
        <v>400</v>
      </c>
      <c r="J2" s="13"/>
    </row>
    <row r="4" spans="2:12" s="2" customFormat="1" ht="29" customHeight="1" x14ac:dyDescent="0.35">
      <c r="C4" s="62" t="s">
        <v>10</v>
      </c>
      <c r="D4" s="62"/>
      <c r="E4" s="62"/>
      <c r="F4" s="62"/>
      <c r="G4" s="62"/>
      <c r="H4" s="62"/>
      <c r="I4" s="62"/>
      <c r="J4" s="62"/>
      <c r="K4" s="62"/>
      <c r="L4" s="62"/>
    </row>
    <row r="5" spans="2:12" s="3" customFormat="1" x14ac:dyDescent="0.35">
      <c r="C5" s="3" t="s">
        <v>11</v>
      </c>
      <c r="D5" s="3" t="s">
        <v>14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5" t="s">
        <v>19</v>
      </c>
      <c r="L5" s="3" t="s">
        <v>20</v>
      </c>
    </row>
    <row r="6" spans="2:12" x14ac:dyDescent="0.35">
      <c r="B6" s="1">
        <v>46173</v>
      </c>
      <c r="C6" s="4">
        <v>150</v>
      </c>
      <c r="D6" s="4">
        <v>137.35</v>
      </c>
      <c r="E6" s="4">
        <f>E2</f>
        <v>400</v>
      </c>
      <c r="F6" s="4">
        <f>+E6-$E$2-I6</f>
        <v>0</v>
      </c>
      <c r="G6" s="4">
        <v>0</v>
      </c>
      <c r="H6" s="4">
        <v>137</v>
      </c>
      <c r="I6" s="4">
        <v>0</v>
      </c>
      <c r="J6" s="13">
        <f>D6-H6</f>
        <v>0.34999999999999432</v>
      </c>
      <c r="K6" s="4">
        <f>H6-I6</f>
        <v>137</v>
      </c>
    </row>
    <row r="7" spans="2:12" x14ac:dyDescent="0.35">
      <c r="B7" s="1">
        <v>46174</v>
      </c>
      <c r="C7" s="4">
        <v>150</v>
      </c>
      <c r="D7" s="4">
        <v>59.95</v>
      </c>
      <c r="E7" s="4">
        <f>+E6+D7-G6</f>
        <v>459.95</v>
      </c>
      <c r="F7" s="4">
        <f t="shared" ref="F7:F36" si="0">+E7-$E$2-I7</f>
        <v>59.949999999999989</v>
      </c>
      <c r="G7" s="4">
        <v>0</v>
      </c>
      <c r="H7" s="4">
        <v>59.95</v>
      </c>
      <c r="I7" s="4">
        <v>0</v>
      </c>
      <c r="J7" s="13">
        <f t="shared" ref="J7:J36" si="1">D7-H7</f>
        <v>0</v>
      </c>
      <c r="K7" s="4">
        <f t="shared" ref="K7:K36" si="2">H7-I7</f>
        <v>59.95</v>
      </c>
    </row>
    <row r="8" spans="2:12" x14ac:dyDescent="0.35">
      <c r="B8" s="1">
        <v>46175</v>
      </c>
      <c r="C8" s="4">
        <v>150</v>
      </c>
      <c r="D8" s="4">
        <v>37.1</v>
      </c>
      <c r="E8" s="4">
        <f t="shared" ref="E8:E35" si="3">+E7+D8-G7</f>
        <v>497.05</v>
      </c>
      <c r="F8" s="4">
        <f t="shared" si="0"/>
        <v>97.050000000000011</v>
      </c>
      <c r="G8" s="4">
        <v>0</v>
      </c>
      <c r="H8" s="4">
        <v>37.1</v>
      </c>
      <c r="I8" s="4">
        <v>0</v>
      </c>
      <c r="J8" s="13">
        <f t="shared" si="1"/>
        <v>0</v>
      </c>
      <c r="K8" s="4">
        <f t="shared" si="2"/>
        <v>37.1</v>
      </c>
    </row>
    <row r="9" spans="2:12" x14ac:dyDescent="0.35">
      <c r="B9" s="1">
        <v>46176</v>
      </c>
      <c r="C9" s="4">
        <v>150</v>
      </c>
      <c r="D9" s="4">
        <v>80.75</v>
      </c>
      <c r="E9" s="4">
        <f t="shared" si="3"/>
        <v>577.79999999999995</v>
      </c>
      <c r="F9" s="4">
        <f t="shared" si="0"/>
        <v>177.79999999999995</v>
      </c>
      <c r="G9" s="4">
        <v>0</v>
      </c>
      <c r="H9" s="4">
        <v>80.75</v>
      </c>
      <c r="I9" s="4">
        <v>0</v>
      </c>
      <c r="J9" s="13">
        <f t="shared" si="1"/>
        <v>0</v>
      </c>
      <c r="K9" s="4">
        <f t="shared" si="2"/>
        <v>80.75</v>
      </c>
    </row>
    <row r="10" spans="2:12" x14ac:dyDescent="0.35">
      <c r="B10" s="1">
        <v>46177</v>
      </c>
      <c r="C10" s="4">
        <v>150</v>
      </c>
      <c r="D10" s="4">
        <v>168.2</v>
      </c>
      <c r="E10" s="4">
        <f t="shared" si="3"/>
        <v>746</v>
      </c>
      <c r="F10" s="4">
        <f t="shared" si="0"/>
        <v>346</v>
      </c>
      <c r="G10" s="4">
        <v>0</v>
      </c>
      <c r="H10" s="4">
        <v>168.2</v>
      </c>
      <c r="I10" s="4">
        <v>0</v>
      </c>
      <c r="J10" s="13">
        <f t="shared" si="1"/>
        <v>0</v>
      </c>
      <c r="K10" s="4">
        <f t="shared" si="2"/>
        <v>168.2</v>
      </c>
    </row>
    <row r="11" spans="2:12" x14ac:dyDescent="0.35">
      <c r="B11" s="1">
        <v>46178</v>
      </c>
      <c r="C11" s="4">
        <v>150</v>
      </c>
      <c r="D11" s="4">
        <v>168.45</v>
      </c>
      <c r="E11" s="4">
        <f t="shared" si="3"/>
        <v>914.45</v>
      </c>
      <c r="F11" s="4">
        <f t="shared" si="0"/>
        <v>514.45000000000005</v>
      </c>
      <c r="G11" s="4">
        <v>0</v>
      </c>
      <c r="H11" s="4">
        <v>168.45</v>
      </c>
      <c r="I11" s="4">
        <v>0</v>
      </c>
      <c r="J11" s="13">
        <f t="shared" si="1"/>
        <v>0</v>
      </c>
      <c r="K11" s="4">
        <f t="shared" si="2"/>
        <v>168.45</v>
      </c>
    </row>
    <row r="12" spans="2:12" x14ac:dyDescent="0.35">
      <c r="B12" s="1">
        <v>46179</v>
      </c>
      <c r="C12" s="4">
        <v>150</v>
      </c>
      <c r="D12" s="4">
        <v>153.85</v>
      </c>
      <c r="E12" s="4">
        <f t="shared" si="3"/>
        <v>1068.3</v>
      </c>
      <c r="F12" s="4">
        <f t="shared" si="0"/>
        <v>668.3</v>
      </c>
      <c r="G12" s="4">
        <v>0</v>
      </c>
      <c r="H12" s="4">
        <v>153.85</v>
      </c>
      <c r="I12" s="4">
        <v>0</v>
      </c>
      <c r="J12" s="13">
        <f t="shared" si="1"/>
        <v>0</v>
      </c>
      <c r="K12" s="4">
        <f t="shared" si="2"/>
        <v>153.85</v>
      </c>
    </row>
    <row r="13" spans="2:12" x14ac:dyDescent="0.35">
      <c r="B13" s="1">
        <v>46180</v>
      </c>
      <c r="C13" s="4">
        <v>150</v>
      </c>
      <c r="D13" s="4">
        <v>209.5</v>
      </c>
      <c r="E13" s="4">
        <f t="shared" si="3"/>
        <v>1277.8</v>
      </c>
      <c r="F13" s="4">
        <f t="shared" si="0"/>
        <v>877.8</v>
      </c>
      <c r="G13" s="4">
        <v>0</v>
      </c>
      <c r="H13" s="4">
        <v>209.9</v>
      </c>
      <c r="I13" s="4">
        <v>0</v>
      </c>
      <c r="J13" s="13">
        <f t="shared" si="1"/>
        <v>-0.40000000000000568</v>
      </c>
      <c r="K13" s="4">
        <f t="shared" si="2"/>
        <v>209.9</v>
      </c>
    </row>
    <row r="14" spans="2:12" x14ac:dyDescent="0.35">
      <c r="B14" s="1">
        <v>46181</v>
      </c>
      <c r="C14" s="4">
        <v>150</v>
      </c>
      <c r="D14" s="4">
        <v>199.75</v>
      </c>
      <c r="E14" s="4">
        <f t="shared" si="3"/>
        <v>1477.55</v>
      </c>
      <c r="F14" s="4">
        <f t="shared" si="0"/>
        <v>1077.55</v>
      </c>
      <c r="G14" s="4">
        <v>0</v>
      </c>
      <c r="H14" s="4">
        <v>199.9</v>
      </c>
      <c r="I14" s="4">
        <v>0</v>
      </c>
      <c r="J14" s="13">
        <f t="shared" si="1"/>
        <v>-0.15000000000000568</v>
      </c>
      <c r="K14" s="4">
        <f t="shared" si="2"/>
        <v>199.9</v>
      </c>
    </row>
    <row r="15" spans="2:12" x14ac:dyDescent="0.35">
      <c r="B15" s="1">
        <v>46182</v>
      </c>
      <c r="C15" s="4">
        <v>150</v>
      </c>
      <c r="D15" s="4">
        <v>103.66</v>
      </c>
      <c r="E15" s="4">
        <f t="shared" si="3"/>
        <v>1581.21</v>
      </c>
      <c r="F15" s="4">
        <f t="shared" si="0"/>
        <v>1181.21</v>
      </c>
      <c r="G15" s="4">
        <v>0</v>
      </c>
      <c r="H15" s="4">
        <v>104.35</v>
      </c>
      <c r="I15" s="4">
        <v>0</v>
      </c>
      <c r="J15" s="13">
        <f t="shared" si="1"/>
        <v>-0.68999999999999773</v>
      </c>
      <c r="K15" s="4">
        <f t="shared" si="2"/>
        <v>104.35</v>
      </c>
    </row>
    <row r="16" spans="2:12" x14ac:dyDescent="0.35">
      <c r="B16" s="1">
        <v>46183</v>
      </c>
      <c r="C16" s="4">
        <v>150</v>
      </c>
      <c r="D16" s="4">
        <v>52.44</v>
      </c>
      <c r="E16" s="4">
        <f t="shared" si="3"/>
        <v>1633.65</v>
      </c>
      <c r="F16" s="4">
        <f t="shared" si="0"/>
        <v>1233.6500000000001</v>
      </c>
      <c r="G16" s="4">
        <v>0</v>
      </c>
      <c r="H16" s="4">
        <v>48.9</v>
      </c>
      <c r="I16" s="4">
        <v>0</v>
      </c>
      <c r="J16" s="13">
        <f t="shared" si="1"/>
        <v>3.5399999999999991</v>
      </c>
      <c r="K16" s="4">
        <f t="shared" si="2"/>
        <v>48.9</v>
      </c>
    </row>
    <row r="17" spans="2:12" x14ac:dyDescent="0.35">
      <c r="B17" s="1">
        <v>46184</v>
      </c>
      <c r="C17" s="4">
        <v>150</v>
      </c>
      <c r="D17" s="4">
        <v>533.75</v>
      </c>
      <c r="E17" s="4">
        <f t="shared" si="3"/>
        <v>2167.4</v>
      </c>
      <c r="F17" s="4">
        <f t="shared" si="0"/>
        <v>1767.4</v>
      </c>
      <c r="G17" s="4">
        <v>0</v>
      </c>
      <c r="H17" s="4">
        <v>533.78</v>
      </c>
      <c r="I17" s="4">
        <v>0</v>
      </c>
      <c r="J17" s="13">
        <f t="shared" si="1"/>
        <v>-2.9999999999972715E-2</v>
      </c>
      <c r="K17" s="4">
        <f t="shared" si="2"/>
        <v>533.78</v>
      </c>
      <c r="L17" s="30"/>
    </row>
    <row r="18" spans="2:12" x14ac:dyDescent="0.35">
      <c r="B18" s="1">
        <v>46185</v>
      </c>
      <c r="C18" s="4">
        <v>150</v>
      </c>
      <c r="D18" s="4">
        <v>57.75</v>
      </c>
      <c r="E18" s="4">
        <f t="shared" si="3"/>
        <v>2225.15</v>
      </c>
      <c r="F18" s="4">
        <f t="shared" si="0"/>
        <v>1825.15</v>
      </c>
      <c r="G18" s="4">
        <v>0</v>
      </c>
      <c r="H18" s="4">
        <v>57.85</v>
      </c>
      <c r="I18" s="4">
        <v>0</v>
      </c>
      <c r="J18" s="13">
        <f t="shared" si="1"/>
        <v>-0.10000000000000142</v>
      </c>
      <c r="K18" s="4">
        <f t="shared" si="2"/>
        <v>57.85</v>
      </c>
      <c r="L18" s="30"/>
    </row>
    <row r="19" spans="2:12" x14ac:dyDescent="0.35">
      <c r="B19" s="1">
        <v>46186</v>
      </c>
      <c r="C19" s="4">
        <v>150</v>
      </c>
      <c r="D19" s="4">
        <v>45.45</v>
      </c>
      <c r="E19" s="4">
        <f t="shared" si="3"/>
        <v>2270.6</v>
      </c>
      <c r="F19" s="4">
        <f t="shared" si="0"/>
        <v>1870.6</v>
      </c>
      <c r="G19" s="4">
        <v>0</v>
      </c>
      <c r="H19" s="4">
        <v>45.5</v>
      </c>
      <c r="I19" s="4">
        <v>0</v>
      </c>
      <c r="J19" s="13">
        <f t="shared" si="1"/>
        <v>-4.9999999999997158E-2</v>
      </c>
      <c r="K19" s="4">
        <f t="shared" si="2"/>
        <v>45.5</v>
      </c>
      <c r="L19" s="30"/>
    </row>
    <row r="20" spans="2:12" x14ac:dyDescent="0.35">
      <c r="B20" s="1">
        <v>46187</v>
      </c>
      <c r="C20" s="4">
        <v>150</v>
      </c>
      <c r="D20" s="4">
        <v>84.65</v>
      </c>
      <c r="E20" s="4">
        <f t="shared" si="3"/>
        <v>2355.25</v>
      </c>
      <c r="F20" s="4">
        <f t="shared" si="0"/>
        <v>1955.25</v>
      </c>
      <c r="G20" s="4">
        <v>0</v>
      </c>
      <c r="H20" s="4">
        <v>84.7</v>
      </c>
      <c r="I20" s="4">
        <v>0</v>
      </c>
      <c r="J20" s="13">
        <f t="shared" si="1"/>
        <v>-4.9999999999997158E-2</v>
      </c>
      <c r="K20" s="4">
        <f t="shared" si="2"/>
        <v>84.7</v>
      </c>
      <c r="L20" s="30"/>
    </row>
    <row r="21" spans="2:12" x14ac:dyDescent="0.35">
      <c r="B21" s="1">
        <v>46188</v>
      </c>
      <c r="C21" s="4">
        <v>150</v>
      </c>
      <c r="D21" s="4">
        <v>125.65</v>
      </c>
      <c r="E21" s="4">
        <f t="shared" si="3"/>
        <v>2480.9</v>
      </c>
      <c r="F21" s="4">
        <f t="shared" si="0"/>
        <v>2080.9</v>
      </c>
      <c r="G21" s="4">
        <v>0</v>
      </c>
      <c r="H21" s="4">
        <v>125.6</v>
      </c>
      <c r="I21" s="4">
        <v>0</v>
      </c>
      <c r="J21" s="13">
        <f t="shared" si="1"/>
        <v>5.0000000000011369E-2</v>
      </c>
      <c r="K21" s="4">
        <f t="shared" si="2"/>
        <v>125.6</v>
      </c>
    </row>
    <row r="22" spans="2:12" x14ac:dyDescent="0.35">
      <c r="B22" s="1">
        <v>46189</v>
      </c>
      <c r="C22" s="4">
        <v>150</v>
      </c>
      <c r="D22" s="4">
        <v>204.3</v>
      </c>
      <c r="E22" s="4">
        <f t="shared" si="3"/>
        <v>2685.2000000000003</v>
      </c>
      <c r="F22" s="4">
        <f t="shared" si="0"/>
        <v>2285.2000000000003</v>
      </c>
      <c r="G22" s="4">
        <v>0</v>
      </c>
      <c r="H22" s="4">
        <v>205.9</v>
      </c>
      <c r="I22" s="4">
        <v>0</v>
      </c>
      <c r="J22" s="13">
        <f t="shared" si="1"/>
        <v>-1.5999999999999943</v>
      </c>
      <c r="K22" s="4">
        <f t="shared" si="2"/>
        <v>205.9</v>
      </c>
    </row>
    <row r="23" spans="2:12" x14ac:dyDescent="0.35">
      <c r="B23" s="1">
        <v>46190</v>
      </c>
      <c r="C23" s="4">
        <v>150</v>
      </c>
      <c r="D23" s="4">
        <v>167.35</v>
      </c>
      <c r="E23" s="4">
        <f t="shared" si="3"/>
        <v>2852.55</v>
      </c>
      <c r="F23" s="4">
        <f t="shared" si="0"/>
        <v>2452.5500000000002</v>
      </c>
      <c r="G23" s="4">
        <v>0</v>
      </c>
      <c r="H23" s="4">
        <v>167.9</v>
      </c>
      <c r="I23" s="4">
        <v>0</v>
      </c>
      <c r="J23" s="13">
        <f t="shared" si="1"/>
        <v>-0.55000000000001137</v>
      </c>
      <c r="K23" s="4">
        <f t="shared" si="2"/>
        <v>167.9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2852.55</v>
      </c>
      <c r="F24" s="4">
        <f t="shared" si="0"/>
        <v>2452.5500000000002</v>
      </c>
      <c r="G24" s="4">
        <v>0</v>
      </c>
      <c r="H24" s="4">
        <v>69.599999999999994</v>
      </c>
      <c r="I24" s="4">
        <v>0</v>
      </c>
      <c r="J24" s="13">
        <f t="shared" si="1"/>
        <v>-69.599999999999994</v>
      </c>
      <c r="K24" s="4">
        <f t="shared" si="2"/>
        <v>69.599999999999994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2852.55</v>
      </c>
      <c r="F25" s="4">
        <f t="shared" si="0"/>
        <v>2452.5500000000002</v>
      </c>
      <c r="G25" s="4">
        <v>0</v>
      </c>
      <c r="H25" s="4">
        <v>140.55000000000001</v>
      </c>
      <c r="I25" s="4">
        <v>0</v>
      </c>
      <c r="J25" s="13">
        <f t="shared" si="1"/>
        <v>-140.55000000000001</v>
      </c>
      <c r="K25" s="4">
        <f t="shared" si="2"/>
        <v>140.55000000000001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2852.55</v>
      </c>
      <c r="F26" s="4">
        <f t="shared" si="0"/>
        <v>2452.5500000000002</v>
      </c>
      <c r="G26" s="4">
        <v>0</v>
      </c>
      <c r="H26" s="4">
        <v>104.2</v>
      </c>
      <c r="I26" s="4">
        <v>0</v>
      </c>
      <c r="J26" s="13">
        <f t="shared" si="1"/>
        <v>-104.2</v>
      </c>
      <c r="K26" s="4">
        <f t="shared" si="2"/>
        <v>104.2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2852.55</v>
      </c>
      <c r="F27" s="4">
        <f t="shared" si="0"/>
        <v>2452.5500000000002</v>
      </c>
      <c r="G27" s="4">
        <v>0</v>
      </c>
      <c r="H27" s="4">
        <v>114.55</v>
      </c>
      <c r="I27" s="4">
        <v>0</v>
      </c>
      <c r="J27" s="13">
        <f t="shared" si="1"/>
        <v>-114.55</v>
      </c>
      <c r="K27" s="4">
        <f t="shared" si="2"/>
        <v>114.55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2852.55</v>
      </c>
      <c r="F28" s="4">
        <f t="shared" si="0"/>
        <v>2452.5500000000002</v>
      </c>
      <c r="G28" s="4">
        <v>0</v>
      </c>
      <c r="H28" s="4">
        <v>134.05000000000001</v>
      </c>
      <c r="I28" s="4">
        <v>0</v>
      </c>
      <c r="J28" s="13">
        <f t="shared" si="1"/>
        <v>-134.05000000000001</v>
      </c>
      <c r="K28" s="4">
        <f t="shared" si="2"/>
        <v>134.05000000000001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2852.55</v>
      </c>
      <c r="F29" s="4">
        <f t="shared" si="0"/>
        <v>2452.5500000000002</v>
      </c>
      <c r="G29" s="4">
        <v>0</v>
      </c>
      <c r="H29" s="4">
        <v>66.55</v>
      </c>
      <c r="I29" s="4">
        <v>0</v>
      </c>
      <c r="J29" s="13">
        <f t="shared" si="1"/>
        <v>-66.55</v>
      </c>
      <c r="K29" s="4">
        <f t="shared" si="2"/>
        <v>66.55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2852.55</v>
      </c>
      <c r="F30" s="4">
        <f t="shared" si="0"/>
        <v>2452.5500000000002</v>
      </c>
      <c r="G30" s="4">
        <v>0</v>
      </c>
      <c r="H30" s="4">
        <v>108.2</v>
      </c>
      <c r="I30" s="4">
        <v>0</v>
      </c>
      <c r="J30" s="13">
        <f t="shared" si="1"/>
        <v>-108.2</v>
      </c>
      <c r="K30" s="4">
        <f t="shared" si="2"/>
        <v>108.2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2852.55</v>
      </c>
      <c r="F31" s="4">
        <f t="shared" si="0"/>
        <v>2452.5500000000002</v>
      </c>
      <c r="G31" s="4">
        <v>6595</v>
      </c>
      <c r="H31" s="4">
        <v>153.4</v>
      </c>
      <c r="I31" s="4">
        <v>0</v>
      </c>
      <c r="J31" s="13">
        <f t="shared" si="1"/>
        <v>-153.4</v>
      </c>
      <c r="K31" s="4">
        <f t="shared" si="2"/>
        <v>153.4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-3742.45</v>
      </c>
      <c r="F32" s="4">
        <f t="shared" si="0"/>
        <v>-4142.45</v>
      </c>
      <c r="G32" s="4">
        <v>0</v>
      </c>
      <c r="H32" s="4">
        <v>63.55</v>
      </c>
      <c r="I32" s="4">
        <v>0</v>
      </c>
      <c r="J32" s="13">
        <f t="shared" si="1"/>
        <v>-63.55</v>
      </c>
      <c r="K32" s="4">
        <f t="shared" si="2"/>
        <v>63.55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-3742.45</v>
      </c>
      <c r="F33" s="4">
        <f t="shared" si="0"/>
        <v>-4142.45</v>
      </c>
      <c r="G33" s="4">
        <v>0</v>
      </c>
      <c r="H33" s="4">
        <v>221.15</v>
      </c>
      <c r="I33" s="4">
        <v>0</v>
      </c>
      <c r="J33" s="13">
        <f t="shared" si="1"/>
        <v>-221.15</v>
      </c>
      <c r="K33" s="4">
        <f t="shared" si="2"/>
        <v>221.15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-3742.45</v>
      </c>
      <c r="F34" s="4">
        <f t="shared" si="0"/>
        <v>-4142.45</v>
      </c>
      <c r="G34" s="4">
        <v>0</v>
      </c>
      <c r="H34" s="4">
        <v>194.25</v>
      </c>
      <c r="I34" s="4">
        <v>0</v>
      </c>
      <c r="J34" s="13">
        <f t="shared" si="1"/>
        <v>-194.25</v>
      </c>
      <c r="K34" s="4">
        <f t="shared" si="2"/>
        <v>194.25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-3742.45</v>
      </c>
      <c r="F35" s="4">
        <f t="shared" si="0"/>
        <v>-4142.45</v>
      </c>
      <c r="G35" s="4">
        <v>0</v>
      </c>
      <c r="H35" s="4">
        <v>0</v>
      </c>
      <c r="I35" s="4">
        <v>0</v>
      </c>
      <c r="J35" s="13">
        <f t="shared" si="1"/>
        <v>0</v>
      </c>
      <c r="K35" s="4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 t="e">
        <f>+E35+#REF!-G35</f>
        <v>#REF!</v>
      </c>
      <c r="F36" s="4" t="e">
        <f t="shared" si="0"/>
        <v>#REF!</v>
      </c>
      <c r="G36" s="4">
        <v>0</v>
      </c>
      <c r="H36" s="4">
        <v>0</v>
      </c>
      <c r="I36" s="4">
        <v>0</v>
      </c>
      <c r="J36" s="13">
        <f t="shared" si="1"/>
        <v>0</v>
      </c>
      <c r="K36" s="4">
        <f t="shared" si="2"/>
        <v>0</v>
      </c>
    </row>
  </sheetData>
  <mergeCells count="1">
    <mergeCell ref="C4:L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5017-319D-4BB1-A98C-CE06BB9AD150}">
  <sheetPr>
    <tabColor rgb="FF95682B"/>
  </sheetPr>
  <dimension ref="B1:AE41"/>
  <sheetViews>
    <sheetView topLeftCell="A3" workbookViewId="0">
      <selection activeCell="G42" sqref="G42"/>
    </sheetView>
  </sheetViews>
  <sheetFormatPr defaultColWidth="10.90625" defaultRowHeight="14.5" outlineLevelRow="1" x14ac:dyDescent="0.35"/>
  <cols>
    <col min="1" max="1" width="3.26953125" customWidth="1"/>
    <col min="2" max="2" width="10.08984375" bestFit="1" customWidth="1"/>
    <col min="3" max="3" width="9" bestFit="1" customWidth="1"/>
    <col min="4" max="4" width="12.26953125" customWidth="1"/>
    <col min="5" max="5" width="11.453125" customWidth="1"/>
    <col min="6" max="6" width="10.90625" customWidth="1"/>
    <col min="7" max="7" width="10.36328125" bestFit="1" customWidth="1"/>
    <col min="8" max="8" width="15.1796875" style="16" customWidth="1"/>
    <col min="9" max="9" width="16.26953125" style="4" customWidth="1"/>
    <col min="10" max="10" width="16.453125" style="14" customWidth="1"/>
    <col min="11" max="11" width="16.26953125" customWidth="1"/>
    <col min="12" max="12" width="25.1796875" customWidth="1"/>
    <col min="13" max="13" width="48.36328125" style="30" customWidth="1"/>
    <col min="14" max="14" width="5.7265625" customWidth="1"/>
    <col min="15" max="15" width="8.1796875" bestFit="1" customWidth="1"/>
    <col min="16" max="17" width="8.1796875" customWidth="1"/>
    <col min="18" max="18" width="11.7265625" bestFit="1" customWidth="1"/>
    <col min="19" max="20" width="11.7265625" customWidth="1"/>
    <col min="21" max="21" width="6" bestFit="1" customWidth="1"/>
    <col min="22" max="23" width="6" customWidth="1"/>
    <col min="24" max="24" width="5" bestFit="1" customWidth="1"/>
    <col min="25" max="26" width="9" bestFit="1" customWidth="1"/>
    <col min="27" max="28" width="7.08984375" customWidth="1"/>
    <col min="29" max="29" width="8.54296875" bestFit="1" customWidth="1"/>
    <col min="30" max="30" width="10.1796875" bestFit="1" customWidth="1"/>
    <col min="31" max="31" width="4.453125" bestFit="1" customWidth="1"/>
  </cols>
  <sheetData>
    <row r="1" spans="2:31" hidden="1" outlineLevel="1" x14ac:dyDescent="0.35"/>
    <row r="2" spans="2:31" s="4" customFormat="1" hidden="1" outlineLevel="1" x14ac:dyDescent="0.35">
      <c r="C2" s="4">
        <v>150</v>
      </c>
      <c r="E2" s="4">
        <v>400.25</v>
      </c>
      <c r="H2" s="17"/>
      <c r="J2" s="14"/>
      <c r="M2" s="31"/>
    </row>
    <row r="3" spans="2:31" collapsed="1" x14ac:dyDescent="0.35"/>
    <row r="4" spans="2:31" s="3" customFormat="1" ht="29" customHeight="1" x14ac:dyDescent="0.35">
      <c r="C4" s="63" t="s">
        <v>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39"/>
      <c r="Z4" s="39"/>
      <c r="AA4" s="39"/>
      <c r="AB4" s="39"/>
      <c r="AC4" s="40"/>
      <c r="AD4" s="40"/>
      <c r="AE4" s="40"/>
    </row>
    <row r="5" spans="2:31" s="3" customFormat="1" x14ac:dyDescent="0.35">
      <c r="C5" s="3" t="s">
        <v>11</v>
      </c>
      <c r="D5" s="3" t="s">
        <v>16</v>
      </c>
      <c r="E5" s="3" t="s">
        <v>12</v>
      </c>
      <c r="F5" s="3" t="s">
        <v>15</v>
      </c>
      <c r="G5" s="3" t="s">
        <v>13</v>
      </c>
      <c r="H5" s="5" t="s">
        <v>18</v>
      </c>
      <c r="I5" s="5" t="s">
        <v>17</v>
      </c>
      <c r="J5" s="28" t="s">
        <v>21</v>
      </c>
      <c r="K5" s="3" t="s">
        <v>19</v>
      </c>
      <c r="L5" s="3" t="s">
        <v>20</v>
      </c>
      <c r="M5" s="3" t="s">
        <v>41</v>
      </c>
    </row>
    <row r="6" spans="2:31" x14ac:dyDescent="0.35">
      <c r="B6" s="1">
        <v>46173</v>
      </c>
      <c r="C6" s="4">
        <v>150</v>
      </c>
      <c r="D6" s="4">
        <v>47.2</v>
      </c>
      <c r="E6" s="4">
        <v>899.1</v>
      </c>
      <c r="F6" s="4">
        <f>+E6-$E$2-I6</f>
        <v>498.85</v>
      </c>
      <c r="G6" s="4">
        <v>45</v>
      </c>
      <c r="H6" s="17">
        <v>47.18</v>
      </c>
      <c r="I6" s="4">
        <v>0</v>
      </c>
      <c r="J6" s="15">
        <f>D6-H6</f>
        <v>2.0000000000003126E-2</v>
      </c>
      <c r="K6" s="4">
        <f>H6-I6</f>
        <v>47.18</v>
      </c>
      <c r="L6" s="18"/>
      <c r="M6" s="3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x14ac:dyDescent="0.35">
      <c r="B7" s="1">
        <v>46174</v>
      </c>
      <c r="C7" s="4">
        <v>150</v>
      </c>
      <c r="D7" s="4">
        <v>16.899999999999999</v>
      </c>
      <c r="E7" s="4">
        <f>+E6+D7-G6</f>
        <v>871</v>
      </c>
      <c r="F7" s="4">
        <f t="shared" ref="F7:F36" si="0">+E7-$E$2-I7</f>
        <v>427.37</v>
      </c>
      <c r="G7" s="4">
        <v>0</v>
      </c>
      <c r="H7" s="17">
        <v>-26.48</v>
      </c>
      <c r="I7" s="4">
        <v>43.38</v>
      </c>
      <c r="J7" s="15">
        <f t="shared" ref="J7:J36" si="1">D7-H7</f>
        <v>43.379999999999995</v>
      </c>
      <c r="K7" s="4">
        <f t="shared" ref="K7:K36" si="2">H7-I7</f>
        <v>-69.86</v>
      </c>
      <c r="L7" s="30" t="s">
        <v>36</v>
      </c>
      <c r="M7" s="31" t="s">
        <v>49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x14ac:dyDescent="0.35">
      <c r="B8" s="1">
        <v>46175</v>
      </c>
      <c r="C8" s="4">
        <v>150</v>
      </c>
      <c r="D8" s="4">
        <v>107.4</v>
      </c>
      <c r="E8" s="4">
        <f t="shared" ref="E8:E36" si="3">+E7+D8-G7</f>
        <v>978.4</v>
      </c>
      <c r="F8" s="4">
        <f t="shared" si="0"/>
        <v>578.15</v>
      </c>
      <c r="G8" s="4">
        <v>100</v>
      </c>
      <c r="H8" s="17">
        <v>107.4</v>
      </c>
      <c r="I8" s="4">
        <v>0</v>
      </c>
      <c r="J8" s="15">
        <f t="shared" si="1"/>
        <v>0</v>
      </c>
      <c r="K8" s="4">
        <f t="shared" si="2"/>
        <v>107.4</v>
      </c>
      <c r="L8" s="18"/>
      <c r="M8" s="3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x14ac:dyDescent="0.35">
      <c r="B9" s="1">
        <v>46176</v>
      </c>
      <c r="C9" s="4">
        <v>150</v>
      </c>
      <c r="D9" s="4">
        <v>124.3</v>
      </c>
      <c r="E9" s="4">
        <f t="shared" si="3"/>
        <v>1002.7</v>
      </c>
      <c r="F9" s="4">
        <f t="shared" si="0"/>
        <v>602.45000000000005</v>
      </c>
      <c r="G9" s="4">
        <v>95</v>
      </c>
      <c r="H9" s="17">
        <v>98.2</v>
      </c>
      <c r="I9" s="4">
        <v>0</v>
      </c>
      <c r="J9" s="15">
        <f t="shared" si="1"/>
        <v>26.099999999999994</v>
      </c>
      <c r="K9" s="4">
        <f t="shared" si="2"/>
        <v>98.2</v>
      </c>
      <c r="L9" s="30" t="s">
        <v>23</v>
      </c>
      <c r="M9" s="31" t="s">
        <v>45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x14ac:dyDescent="0.35">
      <c r="B10" s="1">
        <v>46177</v>
      </c>
      <c r="C10" s="4">
        <v>150</v>
      </c>
      <c r="D10" s="4">
        <v>36.9</v>
      </c>
      <c r="E10" s="4">
        <f t="shared" si="3"/>
        <v>944.60000000000014</v>
      </c>
      <c r="F10" s="4">
        <f t="shared" si="0"/>
        <v>534.35000000000014</v>
      </c>
      <c r="G10" s="4">
        <v>25</v>
      </c>
      <c r="H10" s="17">
        <v>26.82</v>
      </c>
      <c r="I10" s="4">
        <v>10</v>
      </c>
      <c r="J10" s="15">
        <f t="shared" si="1"/>
        <v>10.079999999999998</v>
      </c>
      <c r="K10" s="4">
        <f t="shared" si="2"/>
        <v>16.82</v>
      </c>
      <c r="L10" s="30" t="s">
        <v>36</v>
      </c>
      <c r="M10" s="31" t="s">
        <v>48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x14ac:dyDescent="0.35">
      <c r="B11" s="1">
        <v>46178</v>
      </c>
      <c r="C11" s="4">
        <v>150</v>
      </c>
      <c r="D11" s="4">
        <v>21.6</v>
      </c>
      <c r="E11" s="4">
        <f t="shared" si="3"/>
        <v>941.20000000000016</v>
      </c>
      <c r="F11" s="4">
        <f t="shared" si="0"/>
        <v>540.95000000000016</v>
      </c>
      <c r="G11" s="4">
        <v>20</v>
      </c>
      <c r="H11" s="17">
        <v>21.6</v>
      </c>
      <c r="I11" s="4">
        <v>0</v>
      </c>
      <c r="J11" s="15">
        <f t="shared" si="1"/>
        <v>0</v>
      </c>
      <c r="K11" s="4">
        <f t="shared" si="2"/>
        <v>21.6</v>
      </c>
      <c r="L11" s="18"/>
      <c r="M11" s="3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x14ac:dyDescent="0.35">
      <c r="B12" s="1">
        <v>46179</v>
      </c>
      <c r="C12" s="4">
        <v>150</v>
      </c>
      <c r="D12" s="4">
        <v>181.5</v>
      </c>
      <c r="E12" s="4">
        <f t="shared" si="3"/>
        <v>1102.7000000000003</v>
      </c>
      <c r="F12" s="4">
        <f t="shared" si="0"/>
        <v>702.45000000000027</v>
      </c>
      <c r="G12" s="4">
        <v>180</v>
      </c>
      <c r="H12" s="17">
        <v>180.5</v>
      </c>
      <c r="I12" s="4">
        <v>0</v>
      </c>
      <c r="J12" s="15">
        <f t="shared" si="1"/>
        <v>1</v>
      </c>
      <c r="K12" s="4">
        <f t="shared" si="2"/>
        <v>180.5</v>
      </c>
      <c r="L12" s="18"/>
      <c r="M12" s="3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x14ac:dyDescent="0.35">
      <c r="B13" s="1">
        <v>46180</v>
      </c>
      <c r="C13" s="4">
        <v>150</v>
      </c>
      <c r="D13" s="4">
        <v>69.400000000000006</v>
      </c>
      <c r="E13" s="4">
        <f t="shared" si="3"/>
        <v>992.10000000000036</v>
      </c>
      <c r="F13" s="4">
        <f t="shared" si="0"/>
        <v>591.85000000000036</v>
      </c>
      <c r="G13" s="4">
        <v>65</v>
      </c>
      <c r="H13" s="17">
        <v>69.599999999999994</v>
      </c>
      <c r="I13" s="4">
        <v>0</v>
      </c>
      <c r="J13" s="15">
        <f t="shared" si="1"/>
        <v>-0.19999999999998863</v>
      </c>
      <c r="K13" s="4">
        <f t="shared" si="2"/>
        <v>69.599999999999994</v>
      </c>
      <c r="L13" s="18"/>
      <c r="M13" s="3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x14ac:dyDescent="0.35">
      <c r="B14" s="1">
        <v>46181</v>
      </c>
      <c r="C14" s="4">
        <v>150</v>
      </c>
      <c r="D14" s="4">
        <v>52.1</v>
      </c>
      <c r="E14" s="4">
        <f t="shared" si="3"/>
        <v>979.20000000000027</v>
      </c>
      <c r="F14" s="4">
        <f t="shared" si="0"/>
        <v>578.95000000000027</v>
      </c>
      <c r="G14" s="4">
        <v>50</v>
      </c>
      <c r="H14" s="17">
        <v>52.12</v>
      </c>
      <c r="I14" s="4">
        <v>0</v>
      </c>
      <c r="J14" s="15">
        <f t="shared" si="1"/>
        <v>-1.9999999999996021E-2</v>
      </c>
      <c r="K14" s="4">
        <f t="shared" si="2"/>
        <v>52.12</v>
      </c>
      <c r="L14" s="18"/>
      <c r="M14" s="3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x14ac:dyDescent="0.35">
      <c r="B15" s="1">
        <v>46182</v>
      </c>
      <c r="C15" s="4">
        <v>150</v>
      </c>
      <c r="D15" s="4">
        <v>221.6</v>
      </c>
      <c r="E15" s="4">
        <f t="shared" si="3"/>
        <v>1150.8000000000002</v>
      </c>
      <c r="F15" s="4">
        <f t="shared" si="0"/>
        <v>750.55000000000018</v>
      </c>
      <c r="G15" s="4">
        <v>220</v>
      </c>
      <c r="H15" s="17">
        <v>221.6</v>
      </c>
      <c r="I15" s="4">
        <v>0</v>
      </c>
      <c r="J15" s="15">
        <f t="shared" si="1"/>
        <v>0</v>
      </c>
      <c r="K15" s="4">
        <f t="shared" si="2"/>
        <v>221.6</v>
      </c>
      <c r="L15" s="18"/>
      <c r="M15" s="3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x14ac:dyDescent="0.35">
      <c r="B16" s="1">
        <v>46183</v>
      </c>
      <c r="C16" s="4">
        <v>150</v>
      </c>
      <c r="D16" s="4">
        <v>96.6</v>
      </c>
      <c r="E16" s="4">
        <f t="shared" si="3"/>
        <v>1027.4000000000001</v>
      </c>
      <c r="F16" s="4">
        <f t="shared" si="0"/>
        <v>627.15000000000009</v>
      </c>
      <c r="G16" s="4">
        <v>80</v>
      </c>
      <c r="H16" s="17">
        <v>82.08</v>
      </c>
      <c r="I16" s="4">
        <v>0</v>
      </c>
      <c r="J16" s="15">
        <f t="shared" si="1"/>
        <v>14.519999999999996</v>
      </c>
      <c r="K16" s="4">
        <f t="shared" si="2"/>
        <v>82.08</v>
      </c>
      <c r="L16" s="30" t="s">
        <v>23</v>
      </c>
      <c r="M16" s="31" t="s">
        <v>47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35">
      <c r="B17" s="1">
        <v>46184</v>
      </c>
      <c r="C17" s="4">
        <v>150</v>
      </c>
      <c r="D17" s="4">
        <v>96.9</v>
      </c>
      <c r="E17" s="4">
        <f t="shared" si="3"/>
        <v>1044.3000000000002</v>
      </c>
      <c r="F17" s="4">
        <f t="shared" si="0"/>
        <v>644.05000000000018</v>
      </c>
      <c r="G17" s="4">
        <v>95</v>
      </c>
      <c r="H17" s="17">
        <v>96.5</v>
      </c>
      <c r="I17" s="4">
        <v>0</v>
      </c>
      <c r="J17" s="15">
        <f t="shared" si="1"/>
        <v>0.40000000000000568</v>
      </c>
      <c r="K17" s="4">
        <f t="shared" si="2"/>
        <v>96.5</v>
      </c>
      <c r="L17" s="18"/>
      <c r="M17" s="3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35">
      <c r="B18" s="1">
        <v>46185</v>
      </c>
      <c r="C18" s="4">
        <v>150</v>
      </c>
      <c r="D18" s="4">
        <v>112.7</v>
      </c>
      <c r="E18" s="4">
        <f t="shared" si="3"/>
        <v>1062.0000000000002</v>
      </c>
      <c r="F18" s="4">
        <f t="shared" si="0"/>
        <v>661.75000000000023</v>
      </c>
      <c r="G18" s="4">
        <v>100</v>
      </c>
      <c r="H18" s="17">
        <v>101.7</v>
      </c>
      <c r="I18" s="4">
        <v>0</v>
      </c>
      <c r="J18" s="15">
        <f t="shared" si="1"/>
        <v>11</v>
      </c>
      <c r="K18" s="4">
        <f t="shared" si="2"/>
        <v>101.7</v>
      </c>
      <c r="L18" s="30" t="s">
        <v>23</v>
      </c>
      <c r="M18" s="31" t="s">
        <v>46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35">
      <c r="B19" s="1">
        <v>46186</v>
      </c>
      <c r="C19" s="4">
        <v>150</v>
      </c>
      <c r="D19" s="4">
        <v>50.8</v>
      </c>
      <c r="E19" s="4">
        <f t="shared" si="3"/>
        <v>1012.8000000000002</v>
      </c>
      <c r="F19" s="4">
        <f t="shared" si="0"/>
        <v>612.55000000000018</v>
      </c>
      <c r="G19" s="4">
        <v>50</v>
      </c>
      <c r="H19" s="17">
        <v>50.8</v>
      </c>
      <c r="I19" s="4">
        <v>0</v>
      </c>
      <c r="J19" s="15">
        <f t="shared" si="1"/>
        <v>0</v>
      </c>
      <c r="K19" s="4">
        <f t="shared" si="2"/>
        <v>50.8</v>
      </c>
      <c r="L19" s="18"/>
      <c r="M19" s="3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35">
      <c r="B20" s="1">
        <v>46187</v>
      </c>
      <c r="C20" s="4">
        <v>150</v>
      </c>
      <c r="D20" s="4">
        <v>103.2</v>
      </c>
      <c r="E20" s="4">
        <f t="shared" si="3"/>
        <v>1066.0000000000002</v>
      </c>
      <c r="F20" s="4">
        <f t="shared" si="0"/>
        <v>665.75000000000023</v>
      </c>
      <c r="G20" s="4">
        <v>100</v>
      </c>
      <c r="H20" s="17">
        <v>103.2</v>
      </c>
      <c r="I20" s="4">
        <v>0</v>
      </c>
      <c r="J20" s="15">
        <f t="shared" si="1"/>
        <v>0</v>
      </c>
      <c r="K20" s="4">
        <f t="shared" si="2"/>
        <v>103.2</v>
      </c>
      <c r="L20" s="18"/>
      <c r="M20" s="3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35">
      <c r="B21" s="1">
        <v>46188</v>
      </c>
      <c r="C21" s="4">
        <v>150</v>
      </c>
      <c r="D21" s="4">
        <v>0</v>
      </c>
      <c r="E21" s="4">
        <f t="shared" si="3"/>
        <v>966.00000000000023</v>
      </c>
      <c r="F21" s="4">
        <f t="shared" si="0"/>
        <v>565.75000000000023</v>
      </c>
      <c r="G21" s="4">
        <v>115</v>
      </c>
      <c r="H21" s="17">
        <v>119.5</v>
      </c>
      <c r="I21" s="4">
        <v>0</v>
      </c>
      <c r="J21" s="15">
        <f t="shared" si="1"/>
        <v>-119.5</v>
      </c>
      <c r="K21" s="4">
        <f t="shared" si="2"/>
        <v>119.5</v>
      </c>
      <c r="L21" s="4"/>
      <c r="M21" s="3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35">
      <c r="B22" s="1">
        <v>46189</v>
      </c>
      <c r="C22" s="4">
        <v>150</v>
      </c>
      <c r="D22" s="4">
        <v>0</v>
      </c>
      <c r="E22" s="4">
        <f t="shared" si="3"/>
        <v>851.00000000000023</v>
      </c>
      <c r="F22" s="4">
        <f t="shared" si="0"/>
        <v>443.16000000000025</v>
      </c>
      <c r="G22" s="4">
        <v>110</v>
      </c>
      <c r="H22" s="17">
        <v>118.72</v>
      </c>
      <c r="I22" s="4">
        <v>7.59</v>
      </c>
      <c r="J22" s="15">
        <f t="shared" si="1"/>
        <v>-118.72</v>
      </c>
      <c r="K22" s="4">
        <f t="shared" si="2"/>
        <v>111.13</v>
      </c>
      <c r="L22" s="30" t="s">
        <v>37</v>
      </c>
      <c r="M22" s="31" t="s">
        <v>44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35">
      <c r="B23" s="1">
        <v>46190</v>
      </c>
      <c r="C23" s="4">
        <v>150</v>
      </c>
      <c r="D23" s="4">
        <v>0</v>
      </c>
      <c r="E23" s="4">
        <f t="shared" si="3"/>
        <v>741.00000000000023</v>
      </c>
      <c r="F23" s="4">
        <f t="shared" si="0"/>
        <v>340.75000000000023</v>
      </c>
      <c r="G23" s="4">
        <v>70</v>
      </c>
      <c r="H23" s="17">
        <v>70.2</v>
      </c>
      <c r="I23" s="4">
        <v>0</v>
      </c>
      <c r="J23" s="15">
        <f t="shared" si="1"/>
        <v>-70.2</v>
      </c>
      <c r="K23" s="4">
        <f t="shared" si="2"/>
        <v>70.2</v>
      </c>
      <c r="L23" s="4"/>
      <c r="M23" s="3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35">
      <c r="B24" s="1">
        <v>46191</v>
      </c>
      <c r="C24" s="4">
        <v>150</v>
      </c>
      <c r="D24" s="4">
        <v>0</v>
      </c>
      <c r="E24" s="4">
        <f t="shared" si="3"/>
        <v>671.00000000000023</v>
      </c>
      <c r="F24" s="4">
        <f t="shared" si="0"/>
        <v>270.75000000000023</v>
      </c>
      <c r="G24" s="4">
        <v>100</v>
      </c>
      <c r="H24" s="17">
        <v>0</v>
      </c>
      <c r="I24" s="4">
        <v>0</v>
      </c>
      <c r="J24" s="15">
        <f t="shared" si="1"/>
        <v>0</v>
      </c>
      <c r="K24" s="4">
        <f t="shared" si="2"/>
        <v>0</v>
      </c>
      <c r="L24" s="4"/>
      <c r="M24" s="3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35">
      <c r="B25" s="1">
        <v>46192</v>
      </c>
      <c r="C25" s="4">
        <v>150</v>
      </c>
      <c r="D25" s="4">
        <v>0</v>
      </c>
      <c r="E25" s="4">
        <f t="shared" si="3"/>
        <v>571.00000000000023</v>
      </c>
      <c r="F25" s="4">
        <f t="shared" si="0"/>
        <v>170.75000000000023</v>
      </c>
      <c r="G25" s="4">
        <v>105</v>
      </c>
      <c r="H25" s="17">
        <v>0</v>
      </c>
      <c r="I25" s="4">
        <v>0</v>
      </c>
      <c r="J25" s="15">
        <f t="shared" si="1"/>
        <v>0</v>
      </c>
      <c r="K25" s="4">
        <f t="shared" si="2"/>
        <v>0</v>
      </c>
      <c r="L25" s="4"/>
      <c r="M25" s="3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35">
      <c r="B26" s="1">
        <v>46193</v>
      </c>
      <c r="C26" s="4">
        <v>150</v>
      </c>
      <c r="D26" s="4">
        <v>0</v>
      </c>
      <c r="E26" s="4">
        <f t="shared" si="3"/>
        <v>466.00000000000023</v>
      </c>
      <c r="F26" s="4">
        <f t="shared" si="0"/>
        <v>65.750000000000227</v>
      </c>
      <c r="G26" s="4">
        <v>45</v>
      </c>
      <c r="H26" s="17">
        <v>0</v>
      </c>
      <c r="I26" s="4">
        <v>0</v>
      </c>
      <c r="J26" s="15">
        <f t="shared" si="1"/>
        <v>0</v>
      </c>
      <c r="K26" s="4">
        <f t="shared" si="2"/>
        <v>0</v>
      </c>
      <c r="L26" s="4"/>
      <c r="M26" s="3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x14ac:dyDescent="0.35">
      <c r="B27" s="1">
        <v>46194</v>
      </c>
      <c r="C27" s="4">
        <v>150</v>
      </c>
      <c r="D27" s="4">
        <v>0</v>
      </c>
      <c r="E27" s="4">
        <f t="shared" si="3"/>
        <v>421.00000000000023</v>
      </c>
      <c r="F27" s="4">
        <f t="shared" si="0"/>
        <v>20.750000000000227</v>
      </c>
      <c r="G27" s="4">
        <v>175</v>
      </c>
      <c r="H27" s="17">
        <v>0</v>
      </c>
      <c r="I27" s="4">
        <v>0</v>
      </c>
      <c r="J27" s="15">
        <f t="shared" si="1"/>
        <v>0</v>
      </c>
      <c r="K27" s="4">
        <f t="shared" si="2"/>
        <v>0</v>
      </c>
      <c r="L27" s="4"/>
      <c r="M27" s="3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x14ac:dyDescent="0.35">
      <c r="B28" s="1">
        <v>46195</v>
      </c>
      <c r="C28" s="4">
        <v>150</v>
      </c>
      <c r="D28" s="4">
        <v>0</v>
      </c>
      <c r="E28" s="4">
        <f t="shared" si="3"/>
        <v>246.00000000000023</v>
      </c>
      <c r="F28" s="4">
        <f t="shared" si="0"/>
        <v>-154.24999999999977</v>
      </c>
      <c r="G28" s="4">
        <v>85</v>
      </c>
      <c r="H28" s="17">
        <v>0</v>
      </c>
      <c r="I28" s="4">
        <v>0</v>
      </c>
      <c r="J28" s="15">
        <f t="shared" si="1"/>
        <v>0</v>
      </c>
      <c r="K28" s="4">
        <f t="shared" si="2"/>
        <v>0</v>
      </c>
      <c r="L28" s="4"/>
      <c r="M28" s="3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x14ac:dyDescent="0.35">
      <c r="B29" s="1">
        <v>46196</v>
      </c>
      <c r="C29" s="4">
        <v>150</v>
      </c>
      <c r="D29" s="4">
        <v>0</v>
      </c>
      <c r="E29" s="4">
        <f t="shared" si="3"/>
        <v>161.00000000000023</v>
      </c>
      <c r="F29" s="4">
        <f t="shared" si="0"/>
        <v>-239.24999999999977</v>
      </c>
      <c r="G29" s="4">
        <v>0</v>
      </c>
      <c r="H29" s="17">
        <v>0</v>
      </c>
      <c r="I29" s="4">
        <v>0</v>
      </c>
      <c r="J29" s="15">
        <f t="shared" si="1"/>
        <v>0</v>
      </c>
      <c r="K29" s="4">
        <f t="shared" si="2"/>
        <v>0</v>
      </c>
      <c r="L29" s="4"/>
      <c r="M29" s="3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x14ac:dyDescent="0.35">
      <c r="B30" s="1">
        <v>46197</v>
      </c>
      <c r="C30" s="4">
        <v>150</v>
      </c>
      <c r="D30" s="4">
        <v>0</v>
      </c>
      <c r="E30" s="4">
        <f t="shared" si="3"/>
        <v>161.00000000000023</v>
      </c>
      <c r="F30" s="4">
        <f t="shared" si="0"/>
        <v>-239.24999999999977</v>
      </c>
      <c r="G30" s="4">
        <v>0</v>
      </c>
      <c r="H30" s="17">
        <v>0</v>
      </c>
      <c r="I30" s="4">
        <v>0</v>
      </c>
      <c r="J30" s="15">
        <f t="shared" si="1"/>
        <v>0</v>
      </c>
      <c r="K30" s="4">
        <f t="shared" si="2"/>
        <v>0</v>
      </c>
      <c r="L30" s="4"/>
      <c r="M30" s="3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x14ac:dyDescent="0.35">
      <c r="B31" s="1">
        <v>46198</v>
      </c>
      <c r="C31" s="4">
        <v>150</v>
      </c>
      <c r="D31" s="4">
        <v>0</v>
      </c>
      <c r="E31" s="4">
        <f t="shared" si="3"/>
        <v>161.00000000000023</v>
      </c>
      <c r="F31" s="4">
        <f t="shared" si="0"/>
        <v>-239.24999999999977</v>
      </c>
      <c r="G31" s="4">
        <v>0</v>
      </c>
      <c r="H31" s="17">
        <v>0</v>
      </c>
      <c r="I31" s="4">
        <v>0</v>
      </c>
      <c r="J31" s="15">
        <f t="shared" si="1"/>
        <v>0</v>
      </c>
      <c r="K31" s="4">
        <f t="shared" si="2"/>
        <v>0</v>
      </c>
      <c r="L31" s="4"/>
      <c r="M31" s="3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x14ac:dyDescent="0.35">
      <c r="B32" s="1">
        <v>46199</v>
      </c>
      <c r="C32" s="4">
        <v>150</v>
      </c>
      <c r="D32" s="4">
        <v>0</v>
      </c>
      <c r="E32" s="4">
        <f t="shared" si="3"/>
        <v>161.00000000000023</v>
      </c>
      <c r="F32" s="4">
        <f t="shared" si="0"/>
        <v>-239.24999999999977</v>
      </c>
      <c r="G32" s="4">
        <v>0</v>
      </c>
      <c r="H32" s="17">
        <v>0</v>
      </c>
      <c r="I32" s="4">
        <v>0</v>
      </c>
      <c r="J32" s="15">
        <f t="shared" si="1"/>
        <v>0</v>
      </c>
      <c r="K32" s="4">
        <f t="shared" si="2"/>
        <v>0</v>
      </c>
      <c r="L32" s="4"/>
      <c r="M32" s="3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x14ac:dyDescent="0.35">
      <c r="B33" s="1">
        <v>46200</v>
      </c>
      <c r="C33" s="4">
        <v>150</v>
      </c>
      <c r="D33" s="4">
        <v>0</v>
      </c>
      <c r="E33" s="4">
        <f t="shared" si="3"/>
        <v>161.00000000000023</v>
      </c>
      <c r="F33" s="4">
        <f t="shared" si="0"/>
        <v>-239.24999999999977</v>
      </c>
      <c r="G33" s="4">
        <v>0</v>
      </c>
      <c r="H33" s="17">
        <v>0</v>
      </c>
      <c r="I33" s="4">
        <v>0</v>
      </c>
      <c r="J33" s="15">
        <f t="shared" si="1"/>
        <v>0</v>
      </c>
      <c r="K33" s="4">
        <f t="shared" si="2"/>
        <v>0</v>
      </c>
      <c r="L33" s="4"/>
      <c r="M33" s="3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x14ac:dyDescent="0.35">
      <c r="B34" s="1">
        <v>46201</v>
      </c>
      <c r="C34" s="4">
        <v>150</v>
      </c>
      <c r="D34" s="4">
        <v>0</v>
      </c>
      <c r="E34" s="4">
        <f t="shared" si="3"/>
        <v>161.00000000000023</v>
      </c>
      <c r="F34" s="4">
        <f t="shared" si="0"/>
        <v>-239.24999999999977</v>
      </c>
      <c r="G34" s="4">
        <v>0</v>
      </c>
      <c r="H34" s="17">
        <v>0</v>
      </c>
      <c r="I34" s="4">
        <v>0</v>
      </c>
      <c r="J34" s="15">
        <f t="shared" si="1"/>
        <v>0</v>
      </c>
      <c r="K34" s="4">
        <f t="shared" si="2"/>
        <v>0</v>
      </c>
      <c r="L34" s="4"/>
      <c r="M34" s="3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x14ac:dyDescent="0.35">
      <c r="B35" s="1">
        <v>46202</v>
      </c>
      <c r="C35" s="4">
        <v>150</v>
      </c>
      <c r="D35" s="4">
        <v>0</v>
      </c>
      <c r="E35" s="4">
        <f t="shared" si="3"/>
        <v>161.00000000000023</v>
      </c>
      <c r="F35" s="4">
        <f t="shared" si="0"/>
        <v>-239.24999999999977</v>
      </c>
      <c r="G35" s="4">
        <v>0</v>
      </c>
      <c r="H35" s="17">
        <v>0</v>
      </c>
      <c r="I35" s="4">
        <v>0</v>
      </c>
      <c r="J35" s="15">
        <f t="shared" si="1"/>
        <v>0</v>
      </c>
      <c r="K35" s="4">
        <f t="shared" si="2"/>
        <v>0</v>
      </c>
      <c r="L35" s="4"/>
      <c r="M35" s="3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x14ac:dyDescent="0.35">
      <c r="B36" s="1">
        <v>46203</v>
      </c>
      <c r="C36" s="4">
        <v>150</v>
      </c>
      <c r="D36" s="4">
        <v>0</v>
      </c>
      <c r="E36" s="4">
        <f t="shared" si="3"/>
        <v>161.00000000000023</v>
      </c>
      <c r="F36" s="4">
        <f t="shared" si="0"/>
        <v>-239.24999999999977</v>
      </c>
      <c r="G36" s="4">
        <v>0</v>
      </c>
      <c r="H36" s="17">
        <v>0</v>
      </c>
      <c r="I36" s="4">
        <v>0</v>
      </c>
      <c r="J36" s="15">
        <f t="shared" si="1"/>
        <v>0</v>
      </c>
      <c r="K36" s="4">
        <f t="shared" si="2"/>
        <v>0</v>
      </c>
      <c r="L36" s="4"/>
      <c r="M36" s="3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9" spans="2:31" x14ac:dyDescent="0.35">
      <c r="G39" s="12"/>
    </row>
    <row r="41" spans="2:31" x14ac:dyDescent="0.35">
      <c r="G41" s="12"/>
      <c r="H41" s="51"/>
    </row>
  </sheetData>
  <mergeCells count="1">
    <mergeCell ref="C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Atlantis</vt:lpstr>
      <vt:lpstr>Belle Epine</vt:lpstr>
      <vt:lpstr>Bercy</vt:lpstr>
      <vt:lpstr>Bethune</vt:lpstr>
      <vt:lpstr>Carré Sénart</vt:lpstr>
      <vt:lpstr>Cergy</vt:lpstr>
      <vt:lpstr>GDN</vt:lpstr>
      <vt:lpstr>Nantes</vt:lpstr>
      <vt:lpstr>VDE</vt:lpstr>
      <vt:lpstr>St Lazare</vt:lpstr>
      <vt:lpstr>Strasbourg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Crochet</dc:creator>
  <cp:lastModifiedBy>Jake Galvin</cp:lastModifiedBy>
  <dcterms:created xsi:type="dcterms:W3CDTF">2026-06-01T16:18:37Z</dcterms:created>
  <dcterms:modified xsi:type="dcterms:W3CDTF">2026-07-21T10:31:24Z</dcterms:modified>
</cp:coreProperties>
</file>